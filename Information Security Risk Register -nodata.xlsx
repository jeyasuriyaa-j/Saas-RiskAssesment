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8964" windowHeight="7812"/>
  </bookViews>
  <sheets>
    <sheet name="Dashboard" sheetId="7" r:id="rId1"/>
    <sheet name="Risk Management Register" sheetId="1" r:id="rId2"/>
    <sheet name="Treated Risks" sheetId="6" r:id="rId3"/>
    <sheet name="Rating Tables" sheetId="2" r:id="rId4"/>
    <sheet name="Risk Assessment Tables" sheetId="4" r:id="rId5"/>
    <sheet name="Risk Data" sheetId="8" r:id="rId6"/>
    <sheet name="Look ups" sheetId="5" state="hidden" r:id="rId7"/>
  </sheets>
  <definedNames>
    <definedName name="_xlnm._FilterDatabase" localSheetId="1" hidden="1">'Risk Management Register'!$A$2:$W$19</definedName>
    <definedName name="_xlnm._FilterDatabase" localSheetId="2" hidden="1">'Treated Risks'!$A$2:$W$3</definedName>
    <definedName name="Impact">'Risk Management Register'!$P$3:$P$51</definedName>
    <definedName name="Likelihood">'Risk Management Register'!$Q$3:$Q$51</definedName>
    <definedName name="Risk">'Risk Management Register'!$R$3:$R$51</definedName>
    <definedName name="RiskArea">'Risk Management Register'!$B$3:$B$51</definedName>
    <definedName name="SegmentationRisk">'Risk Management Register'!$A$4</definedName>
    <definedName name="SegmentationRiskMilestones">'Risk Management Register'!$W$5</definedName>
  </definedNames>
  <calcPr calcId="162913"/>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8" l="1"/>
  <c r="D76" i="8"/>
  <c r="D75" i="8"/>
  <c r="D74" i="8"/>
  <c r="D66" i="8" l="1"/>
  <c r="D70" i="8"/>
  <c r="D69" i="8"/>
  <c r="D73" i="8"/>
  <c r="D72" i="8"/>
  <c r="D71" i="8"/>
  <c r="D68" i="8"/>
  <c r="D67" i="8"/>
  <c r="D65" i="8" l="1"/>
  <c r="D64" i="8"/>
  <c r="D63" i="8"/>
  <c r="D61" i="8" l="1"/>
  <c r="D60" i="8"/>
  <c r="D59" i="8"/>
  <c r="D57" i="8"/>
  <c r="D56" i="8"/>
  <c r="D55" i="8"/>
  <c r="D54" i="8"/>
  <c r="D53" i="8"/>
  <c r="D52" i="8"/>
  <c r="D51" i="8"/>
  <c r="D50" i="8"/>
  <c r="D49" i="8"/>
  <c r="D48" i="8"/>
  <c r="D47" i="8"/>
  <c r="D46" i="8"/>
  <c r="D45" i="8" l="1"/>
  <c r="D44" i="8"/>
  <c r="D43" i="8"/>
  <c r="D42" i="8"/>
  <c r="D41" i="8"/>
  <c r="D40" i="8"/>
  <c r="D39" i="8"/>
  <c r="D38" i="8"/>
  <c r="D37" i="8"/>
  <c r="D36" i="8"/>
  <c r="D35" i="8"/>
  <c r="D34" i="8"/>
  <c r="D30" i="8"/>
  <c r="D31" i="8"/>
  <c r="D32" i="8"/>
  <c r="D33" i="8"/>
  <c r="D29" i="8" l="1"/>
  <c r="D28" i="8"/>
  <c r="D27" i="8"/>
  <c r="D26" i="8"/>
  <c r="D23" i="8" l="1"/>
  <c r="D24" i="8"/>
  <c r="D25" i="8"/>
  <c r="D22" i="8"/>
  <c r="R3" i="1"/>
  <c r="S3" i="1" l="1"/>
  <c r="O3" i="1"/>
  <c r="N3" i="1"/>
</calcChain>
</file>

<file path=xl/comments1.xml><?xml version="1.0" encoding="utf-8"?>
<comments xmlns="http://schemas.openxmlformats.org/spreadsheetml/2006/main">
  <authors>
    <author>Author</author>
  </authors>
  <commentList>
    <comment ref="V18" authorId="0" shapeId="0">
      <text>
        <r>
          <rPr>
            <sz val="10"/>
            <rFont val="Arial"/>
          </rPr>
          <t>[Threaded comment]
Your version of Excel allows you to read this threaded comment; however, any edits to it will get removed if the file is opened in a newer version of Excel. Learn more: https://go.microsoft.com/fwlink/?linkid=870924
Comment:
    [Mention was removed] Any update on this risk?</t>
        </r>
      </text>
    </comment>
    <comment ref="V19" authorId="0" shapeId="0">
      <text>
        <r>
          <rPr>
            <sz val="10"/>
            <rFont val="Arial"/>
          </rPr>
          <t xml:space="preserve">[Threaded comment]
Your version of Excel allows you to read this threaded comment; however, any edits to it will get removed if the file is opened in a newer version of Excel. Learn more: https://go.microsoft.com/fwlink/?linkid=870924
Comment:
    [Mention was removed] - what's the current status of USB protection?  Is this now in place?
Reply:
    Hi Robert, yes this is in place for Durbin UK via Crowdstrike </t>
        </r>
      </text>
    </comment>
  </commentList>
</comments>
</file>

<file path=xl/sharedStrings.xml><?xml version="1.0" encoding="utf-8"?>
<sst xmlns="http://schemas.openxmlformats.org/spreadsheetml/2006/main" count="306" uniqueCount="163">
  <si>
    <t>Information Security Risk Register Dashboard</t>
  </si>
  <si>
    <t>Risk Identification</t>
  </si>
  <si>
    <t>Qualitative Risk Assessment</t>
  </si>
  <si>
    <t>Action Plan</t>
  </si>
  <si>
    <t>#</t>
  </si>
  <si>
    <t>Risk Name</t>
  </si>
  <si>
    <t>Risk Sub Category</t>
  </si>
  <si>
    <t>Risk Description</t>
  </si>
  <si>
    <t>Effect</t>
  </si>
  <si>
    <t>Applicable Divisions</t>
  </si>
  <si>
    <t>Risk Owner</t>
  </si>
  <si>
    <t>Mitigation Control / Actions</t>
  </si>
  <si>
    <t>Control Owner</t>
  </si>
  <si>
    <t>Basis for Inherent Risk Assessment</t>
  </si>
  <si>
    <t>Status of Control Actions</t>
  </si>
  <si>
    <t>(A)
Inherent
Impact
(Pre
Controls)</t>
  </si>
  <si>
    <t>(C)
Likelihood</t>
  </si>
  <si>
    <t>(A x C)
Inherent
Score</t>
  </si>
  <si>
    <t>Inherent Risk Rating</t>
  </si>
  <si>
    <t>(B)
Residual
Impact
(Post
Controls)</t>
  </si>
  <si>
    <t>(C)
Likelihood2</t>
  </si>
  <si>
    <t>(B x C)
Residual
Score</t>
  </si>
  <si>
    <t>Residual Risk Rating</t>
  </si>
  <si>
    <t>Treatment</t>
  </si>
  <si>
    <t>Treatment Plan</t>
  </si>
  <si>
    <t>Verification</t>
  </si>
  <si>
    <t>Interval or Milestone Check</t>
  </si>
  <si>
    <t>External Reference (e.g. remediation project status)</t>
  </si>
  <si>
    <t>IAM</t>
  </si>
  <si>
    <t>Operational Risk</t>
  </si>
  <si>
    <t>To be implemented</t>
  </si>
  <si>
    <t>Mitigate</t>
  </si>
  <si>
    <t>IS-22-035</t>
  </si>
  <si>
    <t>Host Sec</t>
  </si>
  <si>
    <t>The Magento system is out of support and could contain unpatched vulnerabilities</t>
  </si>
  <si>
    <t>A breach on the Magento site could expose data held on the server and put the site out of use for order taking.</t>
  </si>
  <si>
    <t>Short term: Site to be geo-restricted to UK and Ireland to reduce risk.
Medium term: Plan to move to M2, supported version</t>
  </si>
  <si>
    <t>Business to move to M2, supported version</t>
  </si>
  <si>
    <t>Version checked against supported version</t>
  </si>
  <si>
    <t>Threat/Vuln Mgt</t>
  </si>
  <si>
    <t>Network Sec</t>
  </si>
  <si>
    <t>Neville John</t>
  </si>
  <si>
    <t>Software Sec</t>
  </si>
  <si>
    <t>Legal &amp; Regulatory</t>
  </si>
  <si>
    <t>Product Access</t>
  </si>
  <si>
    <t>Architecture</t>
  </si>
  <si>
    <t>Incident Response</t>
  </si>
  <si>
    <t>Asset Mgt</t>
  </si>
  <si>
    <t>Data Protection</t>
  </si>
  <si>
    <t>Clinical &amp; Commercial Pharma</t>
  </si>
  <si>
    <t>Tim Abbott</t>
  </si>
  <si>
    <t>Sec Operations</t>
  </si>
  <si>
    <t>Governance</t>
  </si>
  <si>
    <t>Closed Date</t>
  </si>
  <si>
    <t>Date Closed</t>
  </si>
  <si>
    <t>Medium</t>
  </si>
  <si>
    <t>High</t>
  </si>
  <si>
    <t>Med-High</t>
  </si>
  <si>
    <t>Low</t>
  </si>
  <si>
    <t>Gareth Reilly</t>
  </si>
  <si>
    <t>Awareness</t>
  </si>
  <si>
    <t>Risk Rating Table</t>
  </si>
  <si>
    <t>Consequence</t>
  </si>
  <si>
    <t>Insignificant</t>
  </si>
  <si>
    <t>Minor</t>
  </si>
  <si>
    <t>Moderate</t>
  </si>
  <si>
    <t>Major</t>
  </si>
  <si>
    <t>Catastrophic</t>
  </si>
  <si>
    <t>Rating</t>
  </si>
  <si>
    <t>Probability</t>
  </si>
  <si>
    <t>Almost Certain</t>
  </si>
  <si>
    <t>Likely</t>
  </si>
  <si>
    <t>Possible</t>
  </si>
  <si>
    <t>Unlikely</t>
  </si>
  <si>
    <t>Rare</t>
  </si>
  <si>
    <t>Where:</t>
  </si>
  <si>
    <r>
      <t>L</t>
    </r>
    <r>
      <rPr>
        <sz val="10"/>
        <rFont val="Arial"/>
        <family val="2"/>
      </rPr>
      <t xml:space="preserve"> = Low Risk,  </t>
    </r>
    <r>
      <rPr>
        <b/>
        <sz val="10"/>
        <rFont val="Arial"/>
        <family val="2"/>
      </rPr>
      <t>M</t>
    </r>
    <r>
      <rPr>
        <sz val="10"/>
        <rFont val="Arial"/>
        <family val="2"/>
      </rPr>
      <t xml:space="preserve"> = Medium Risk,  </t>
    </r>
    <r>
      <rPr>
        <b/>
        <sz val="10"/>
        <rFont val="Arial"/>
        <family val="2"/>
      </rPr>
      <t>M-H</t>
    </r>
    <r>
      <rPr>
        <sz val="10"/>
        <rFont val="Arial"/>
        <family val="2"/>
      </rPr>
      <t xml:space="preserve"> = Medium to High Risk, </t>
    </r>
    <r>
      <rPr>
        <b/>
        <sz val="10"/>
        <rFont val="Arial"/>
        <family val="2"/>
      </rPr>
      <t>H</t>
    </r>
    <r>
      <rPr>
        <sz val="10"/>
        <rFont val="Arial"/>
        <family val="2"/>
      </rPr>
      <t xml:space="preserve"> = High Risk</t>
    </r>
  </si>
  <si>
    <t>Risk Areas</t>
  </si>
  <si>
    <t>Divisions</t>
  </si>
  <si>
    <t>Lead</t>
  </si>
  <si>
    <t>3rd Party</t>
  </si>
  <si>
    <t>To Be Implemented</t>
  </si>
  <si>
    <t xml:space="preserve">Parent Company </t>
  </si>
  <si>
    <t>Already In Place</t>
  </si>
  <si>
    <t>Continuous</t>
  </si>
  <si>
    <t xml:space="preserve">Supply Chain &amp; Retail </t>
  </si>
  <si>
    <t>Matt Kazafaniotis</t>
  </si>
  <si>
    <t>Audit Logs</t>
  </si>
  <si>
    <t>John Dixon</t>
  </si>
  <si>
    <t>Clinical &amp; Commercial  Medtech</t>
  </si>
  <si>
    <t>Content Sec</t>
  </si>
  <si>
    <t xml:space="preserve">Pharamcies </t>
  </si>
  <si>
    <t>Endpoint Security</t>
  </si>
  <si>
    <t>Metrics/Reporting</t>
  </si>
  <si>
    <t>Policy/Standards</t>
  </si>
  <si>
    <t>Resilience</t>
  </si>
  <si>
    <t>Secure Config</t>
  </si>
  <si>
    <t>Strategy</t>
  </si>
  <si>
    <t>Third party</t>
  </si>
  <si>
    <t>Probability / Likelihood Assessment Table</t>
  </si>
  <si>
    <t>Rating Level</t>
  </si>
  <si>
    <t xml:space="preserve">Rating </t>
  </si>
  <si>
    <t>Probability of Happening</t>
  </si>
  <si>
    <t>Impact</t>
  </si>
  <si>
    <t>Common or repeating happening.</t>
  </si>
  <si>
    <t>Detrimental to the viability and ongoing operation of the Group.
(e.g. loss of major investor/s or sustained loss of key business activities or extended adverse media coverage requiring significant executive and PR intervention)</t>
  </si>
  <si>
    <t>Likely, will occur in most circumstances</t>
  </si>
  <si>
    <t>Major significance with significant damage to the Group
(e.g. threat of unmitigated hazard to staff, customers or physical assets, potential significant disruption to key activities not resolved within 24hrs or formal warning from a regulator or adverse national media coverage requiring PR intervention)</t>
  </si>
  <si>
    <t>Possible, may occur.</t>
  </si>
  <si>
    <t>Moderate with a significant but containable impact to the Group
(e.g.. moderate disruption to day to day activities resulting in some delays in key activities, moderate health &amp; safety incident.).</t>
  </si>
  <si>
    <t>Unlikely, may occur at some point</t>
  </si>
  <si>
    <t>Minor significance with a minor impact to the Group (e.g. low level disruption to day to day activities resolved in 24hrs, event which may tarnish our reputation with specific stakeholders group or minor health &amp; safety incident.)</t>
  </si>
  <si>
    <t>May happen only in exceptional circumstances</t>
  </si>
  <si>
    <t>Insignificant with no significant impact to the Group
(e.g minimal disruption in non-critical activities which are resolved within the day).</t>
  </si>
  <si>
    <t xml:space="preserve">Impact / Consequence Assessment Table </t>
  </si>
  <si>
    <t>Score</t>
  </si>
  <si>
    <t>Financial</t>
  </si>
  <si>
    <t>Operational Impact</t>
  </si>
  <si>
    <t>Stakeholder Perception &amp; Reputational Impact</t>
  </si>
  <si>
    <t>Health and Safety</t>
  </si>
  <si>
    <t>Strategic / External Impact</t>
  </si>
  <si>
    <t>EBITDA Impact 40% +</t>
  </si>
  <si>
    <t>Breakdown or complete loss of operational activities, including third parties for a prolonged period of time impacting on capacity to deliver critical activities products and service integral to the Group
Unexpected loss of several key staff members considered to be key dependencies.</t>
  </si>
  <si>
    <t>Long-term negative media coverage nationally or internationally; requiring continuous significant Executive and public relations intervention, game-changing loss of market share.
Major reaction from stakeholders, large loss of investors, reluctance to invest / continue with acquisitions.</t>
  </si>
  <si>
    <t>Significant prosecution and fines, license revocations.</t>
  </si>
  <si>
    <t>Significant injuries or fatalities to employees or third parties, such as customers or vendors.</t>
  </si>
  <si>
    <t>Refer to guidance on other financial/non-financial impacts</t>
  </si>
  <si>
    <t>EBITDA Impact 10 - 40%</t>
  </si>
  <si>
    <t>Potential for significant disruption to critical and non-critical activities, including third parties, not resolved within 24hours and results in delays and the non-achievement of service levels/ loss of production.
Unexpected / Unplanned loss of a number of senior staff members considered to be a key dependency.</t>
  </si>
  <si>
    <t>Adverse extended national media coverage requires significant public relations intervention
National long-term negative media coverage.
Poor image of the Group with stakeholders.</t>
  </si>
  <si>
    <t>Report to regulator requiring major project for corrective action.</t>
  </si>
  <si>
    <t>Limited in-patient care required for employees or third parties, such as customers or vendors.</t>
  </si>
  <si>
    <t>EBITDA Impact 5 - 10%</t>
  </si>
  <si>
    <t>Minor disruption to the day-to-day activities, including third parties, which result in some delays in critical activities.
Unexpected / Unplanned loss of a number of staff members, not perceived as employer of choice. Widespread staff morale problems and high turnover</t>
  </si>
  <si>
    <t>Localised adverse media attention which can be managed through good public relations and minimal to no reaction from stakeholders.</t>
  </si>
  <si>
    <t>Report of breach to regulator with immediate correction to be implemented.</t>
  </si>
  <si>
    <t>Out-patient medical treatment required for employees or third parties, such as customers or vendors</t>
  </si>
  <si>
    <t>EBITDA Impact 1 -5%</t>
  </si>
  <si>
    <t>Low level disruption in non-critical activities which are resolved within the day.
Unexpected / Unplanned loss of a staff members.</t>
  </si>
  <si>
    <t>An event which may tarnish our reputation with specific stakeholders group / Local reputational damage.</t>
  </si>
  <si>
    <t>Reportable incident to regulator, minimal follow up actions required.</t>
  </si>
  <si>
    <t>Small scale incident affecting single employee / third party. Onsite first aid required.</t>
  </si>
  <si>
    <t>EBITDA Impact 1%</t>
  </si>
  <si>
    <t>Minimal disruption in non-critical activities which are resolved within the day.</t>
  </si>
  <si>
    <t>Little or no impact on the perception of the Group in the media or with stakeholders.</t>
  </si>
  <si>
    <t>No regulatory / legal impact.</t>
  </si>
  <si>
    <t>Little or no impact. No medical or first aid attention required.</t>
  </si>
  <si>
    <t>Date</t>
  </si>
  <si>
    <t>Number</t>
  </si>
  <si>
    <t>Change</t>
  </si>
  <si>
    <t>Risk by Area Pivot</t>
  </si>
  <si>
    <t>Overall Risks Pivot</t>
  </si>
  <si>
    <t>Sum of Number</t>
  </si>
  <si>
    <t>Row Labels</t>
  </si>
  <si>
    <t>Count of (B x C)</t>
  </si>
  <si>
    <t>Grand Total</t>
  </si>
  <si>
    <t>Treatment Strategies</t>
  </si>
  <si>
    <t>Avoid</t>
  </si>
  <si>
    <t>Transfer</t>
  </si>
  <si>
    <t>Accept</t>
  </si>
  <si>
    <t>Count of #</t>
  </si>
  <si>
    <t>07-SEP-2022 - Business case submitted and decision due next week
05-OCT-2022 Bus case awaiting approval by Tom. Target is by month end.
02-NOV-2022 - Awaiting approval for upgrade
07-DEC-2022 Awaiting approval for upgrade
18-JAN-2023 Awaiting approval for upgrade - Risk to be raised by Feb if no update
23-FEB-2023 Awaiting approval for upgrade
12-APR-2023 - Awaiting approval for upgrade
24-MAY-2023 - Plan to migrate M1 to M2 in phase 1.  Decision expected in next few weeks.
04-JUL-2023 - Getting updated quotation for rebuild on Magento M2. Decision expected this week.  Will be 6 months to implement
02-AUG-2023 - Solution to be presented to the business
04-OCT-2023 - Upgrade approved - waiting on resourced to be allocated and project to start
03-JAN-2024 - M2 upgrade kicked off - go live in July
07-FEB-2024 - Work in progress - go live in July
06-MAR-2024 - 17 July is go live date for Azure M2 - test environment available 29 March
03-APR-2024 - Monsoon's UAT environment to be available 19th of April in Azure
01-MAY-2024 - Demo of the site from Monsoon, work ongoing</t>
  </si>
  <si>
    <t>An attacker could compromise the  B2B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</si>
</sst>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9" x14ac:knownFonts="1">
    <font>
      <sz val="10"/>
      <name val="Arial"/>
    </font>
    <font>
      <b/>
      <sz val="10"/>
      <name val="Arial"/>
      <family val="2"/>
    </font>
    <font>
      <sz val="8"/>
      <name val="Arial"/>
      <family val="2"/>
    </font>
    <font>
      <sz val="10"/>
      <name val="Arial"/>
      <family val="2"/>
    </font>
    <font>
      <b/>
      <sz val="12"/>
      <name val="Arial"/>
      <family val="2"/>
    </font>
    <font>
      <sz val="10"/>
      <name val="Gill Sans MT"/>
      <family val="2"/>
    </font>
    <font>
      <b/>
      <sz val="10"/>
      <name val="Gill Sans MT"/>
      <family val="2"/>
    </font>
    <font>
      <sz val="10"/>
      <color rgb="FF000000"/>
      <name val="Gill Sans MT"/>
      <family val="2"/>
    </font>
    <font>
      <b/>
      <sz val="15"/>
      <color theme="3"/>
      <name val="Calibri"/>
      <family val="2"/>
      <scheme val="minor"/>
    </font>
    <font>
      <u/>
      <sz val="10"/>
      <color theme="10"/>
      <name val="Arial"/>
      <family val="2"/>
    </font>
    <font>
      <sz val="10"/>
      <name val="Calibri"/>
      <family val="2"/>
      <scheme val="minor"/>
    </font>
    <font>
      <b/>
      <sz val="10"/>
      <name val="Calibri"/>
      <family val="2"/>
      <scheme val="minor"/>
    </font>
    <font>
      <b/>
      <sz val="10"/>
      <color rgb="FF000000"/>
      <name val="Calibri"/>
      <family val="2"/>
      <scheme val="minor"/>
    </font>
    <font>
      <sz val="10"/>
      <color rgb="FF000000"/>
      <name val="Calibri"/>
      <family val="2"/>
      <scheme val="minor"/>
    </font>
    <font>
      <sz val="10"/>
      <color rgb="FF000000"/>
      <name val="Calibri"/>
      <family val="2"/>
    </font>
    <font>
      <sz val="10"/>
      <color theme="1"/>
      <name val="Arial"/>
      <family val="2"/>
    </font>
    <font>
      <b/>
      <sz val="10"/>
      <color theme="1"/>
      <name val="Arial"/>
      <family val="2"/>
    </font>
    <font>
      <sz val="10"/>
      <color theme="1"/>
      <name val="Arial"/>
      <family val="2"/>
    </font>
    <font>
      <b/>
      <sz val="8"/>
      <name val="Arial"/>
      <family val="2"/>
    </font>
  </fonts>
  <fills count="18">
    <fill>
      <patternFill patternType="none"/>
    </fill>
    <fill>
      <patternFill patternType="gray125"/>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13"/>
        <bgColor indexed="64"/>
      </patternFill>
    </fill>
    <fill>
      <patternFill patternType="solid">
        <fgColor indexed="50"/>
        <bgColor indexed="64"/>
      </patternFill>
    </fill>
    <fill>
      <patternFill patternType="solid">
        <fgColor indexed="10"/>
        <bgColor indexed="64"/>
      </patternFill>
    </fill>
    <fill>
      <patternFill patternType="solid">
        <fgColor indexed="41"/>
        <bgColor indexed="64"/>
      </patternFill>
    </fill>
    <fill>
      <patternFill patternType="solid">
        <fgColor rgb="FFC0C0C0"/>
        <bgColor indexed="64"/>
      </patternFill>
    </fill>
    <fill>
      <patternFill patternType="solid">
        <fgColor theme="0" tint="-0.14999847407452621"/>
        <bgColor indexed="64"/>
      </patternFill>
    </fill>
    <fill>
      <patternFill patternType="solid">
        <fgColor theme="9"/>
        <bgColor indexed="64"/>
      </patternFill>
    </fill>
    <fill>
      <patternFill patternType="solid">
        <fgColor rgb="FFFFC000"/>
        <bgColor indexed="64"/>
      </patternFill>
    </fill>
    <fill>
      <patternFill patternType="solid">
        <fgColor rgb="FFFFFF00"/>
        <bgColor indexed="64"/>
      </patternFill>
    </fill>
    <fill>
      <patternFill patternType="solid">
        <fgColor rgb="FFE9EBF5"/>
        <bgColor indexed="64"/>
      </patternFill>
    </fill>
    <fill>
      <patternFill patternType="solid">
        <fgColor rgb="FF00B0F0"/>
        <bgColor indexed="64"/>
      </patternFill>
    </fill>
    <fill>
      <patternFill patternType="solid">
        <fgColor rgb="FF00B050"/>
        <bgColor indexed="64"/>
      </patternFill>
    </fill>
    <fill>
      <patternFill patternType="solid">
        <fgColor theme="0" tint="-0.14999847407452621"/>
        <bgColor theme="0" tint="-0.14999847407452621"/>
      </patternFill>
    </fill>
  </fills>
  <borders count="37">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ck">
        <color theme="4"/>
      </bottom>
      <diagonal/>
    </border>
    <border>
      <left style="thin">
        <color indexed="64"/>
      </left>
      <right/>
      <top/>
      <bottom/>
      <diagonal/>
    </border>
    <border>
      <left/>
      <right/>
      <top style="medium">
        <color indexed="64"/>
      </top>
      <bottom/>
      <diagonal/>
    </border>
    <border>
      <left style="thin">
        <color theme="1"/>
      </left>
      <right style="thin">
        <color indexed="64"/>
      </right>
      <top style="thin">
        <color indexed="64"/>
      </top>
      <bottom style="thin">
        <color indexed="64"/>
      </bottom>
      <diagonal/>
    </border>
    <border>
      <left style="thin">
        <color indexed="64"/>
      </left>
      <right style="thin">
        <color indexed="64"/>
      </right>
      <top style="thin">
        <color indexed="64"/>
      </top>
      <bottom style="thin">
        <color theme="1"/>
      </bottom>
      <diagonal/>
    </border>
    <border>
      <left style="thin">
        <color theme="1"/>
      </left>
      <right style="thin">
        <color indexed="64"/>
      </right>
      <top style="thin">
        <color indexed="64"/>
      </top>
      <bottom style="thin">
        <color theme="1"/>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theme="1"/>
      </top>
      <bottom style="thin">
        <color indexed="64"/>
      </bottom>
      <diagonal/>
    </border>
    <border>
      <left style="thin">
        <color theme="1"/>
      </left>
      <right style="thin">
        <color indexed="64"/>
      </right>
      <top style="thin">
        <color theme="1"/>
      </top>
      <bottom style="thin">
        <color theme="1"/>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0" fontId="8" fillId="0" borderId="26" applyNumberFormat="0" applyFill="0" applyAlignment="0" applyProtection="0"/>
    <xf numFmtId="0" fontId="9" fillId="0" borderId="0" applyNumberFormat="0" applyFill="0" applyBorder="0" applyAlignment="0" applyProtection="0"/>
  </cellStyleXfs>
  <cellXfs count="17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left"/>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0" xfId="0" applyFont="1"/>
    <xf numFmtId="0" fontId="0" fillId="0" borderId="0" xfId="0" applyAlignment="1">
      <alignment horizontal="right"/>
    </xf>
    <xf numFmtId="0" fontId="0" fillId="6" borderId="7" xfId="0" applyFill="1" applyBorder="1" applyAlignment="1">
      <alignment horizontal="center"/>
    </xf>
    <xf numFmtId="0" fontId="0" fillId="6" borderId="8" xfId="0" applyFill="1" applyBorder="1" applyAlignment="1">
      <alignment horizontal="center"/>
    </xf>
    <xf numFmtId="0" fontId="1" fillId="0" borderId="9" xfId="0" applyFont="1" applyBorder="1" applyAlignment="1">
      <alignment horizontal="center"/>
    </xf>
    <xf numFmtId="0" fontId="0" fillId="0" borderId="10" xfId="0" applyBorder="1" applyAlignment="1">
      <alignment wrapText="1"/>
    </xf>
    <xf numFmtId="0" fontId="0" fillId="5" borderId="1" xfId="0" applyFill="1" applyBorder="1" applyAlignment="1">
      <alignment horizontal="center"/>
    </xf>
    <xf numFmtId="0" fontId="0" fillId="6" borderId="1" xfId="0" applyFill="1" applyBorder="1" applyAlignment="1">
      <alignment horizontal="center"/>
    </xf>
    <xf numFmtId="0" fontId="0" fillId="6" borderId="11" xfId="0" applyFill="1" applyBorder="1" applyAlignment="1">
      <alignment horizontal="center"/>
    </xf>
    <xf numFmtId="0" fontId="1" fillId="0" borderId="12" xfId="0" applyFont="1" applyBorder="1" applyAlignment="1">
      <alignment horizontal="center"/>
    </xf>
    <xf numFmtId="0" fontId="0" fillId="0" borderId="13" xfId="0" applyBorder="1" applyAlignment="1">
      <alignment wrapText="1"/>
    </xf>
    <xf numFmtId="0" fontId="0" fillId="7" borderId="14" xfId="0" applyFill="1" applyBorder="1" applyAlignment="1">
      <alignment horizontal="center"/>
    </xf>
    <xf numFmtId="0" fontId="1" fillId="0" borderId="15" xfId="0" applyFont="1" applyBorder="1" applyAlignment="1">
      <alignment horizontal="center"/>
    </xf>
    <xf numFmtId="0" fontId="0" fillId="0" borderId="16" xfId="0" applyBorder="1" applyAlignment="1">
      <alignment wrapText="1"/>
    </xf>
    <xf numFmtId="0" fontId="1" fillId="0" borderId="6" xfId="0" applyFont="1" applyBorder="1" applyAlignment="1">
      <alignment horizontal="center"/>
    </xf>
    <xf numFmtId="0" fontId="1" fillId="0" borderId="16" xfId="0" applyFont="1" applyBorder="1" applyAlignment="1">
      <alignment horizontal="center"/>
    </xf>
    <xf numFmtId="0" fontId="0" fillId="0" borderId="17" xfId="0" applyBorder="1" applyAlignment="1">
      <alignment horizontal="center"/>
    </xf>
    <xf numFmtId="0" fontId="0" fillId="0" borderId="5" xfId="0" applyBorder="1" applyAlignment="1">
      <alignment horizontal="center"/>
    </xf>
    <xf numFmtId="0" fontId="4" fillId="0" borderId="0" xfId="0" applyFont="1"/>
    <xf numFmtId="0" fontId="1" fillId="8" borderId="18" xfId="0" applyFont="1" applyFill="1" applyBorder="1" applyAlignment="1">
      <alignment horizontal="center" vertical="center" wrapText="1"/>
    </xf>
    <xf numFmtId="0" fontId="3" fillId="0" borderId="0" xfId="1"/>
    <xf numFmtId="0" fontId="6" fillId="0" borderId="0" xfId="1" applyFont="1"/>
    <xf numFmtId="0" fontId="6" fillId="10" borderId="1" xfId="1" applyFont="1" applyFill="1" applyBorder="1" applyAlignment="1">
      <alignment horizontal="left"/>
    </xf>
    <xf numFmtId="0" fontId="1" fillId="0" borderId="4"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0" xfId="0" applyFont="1"/>
    <xf numFmtId="0" fontId="1" fillId="0" borderId="19" xfId="0" applyFont="1" applyBorder="1" applyAlignment="1">
      <alignment horizontal="center" vertical="center"/>
    </xf>
    <xf numFmtId="0" fontId="1" fillId="0" borderId="20"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4" xfId="0" applyFont="1" applyBorder="1" applyAlignment="1">
      <alignment horizontal="center" vertical="center"/>
    </xf>
    <xf numFmtId="0" fontId="3" fillId="0" borderId="3" xfId="0" applyFont="1" applyBorder="1" applyAlignment="1">
      <alignment horizontal="center" vertical="center" wrapText="1"/>
    </xf>
    <xf numFmtId="0" fontId="0" fillId="0" borderId="3" xfId="0" applyBorder="1" applyAlignment="1">
      <alignment horizontal="center" vertical="center"/>
    </xf>
    <xf numFmtId="0" fontId="3" fillId="0" borderId="23" xfId="0" applyFont="1" applyBorder="1" applyAlignment="1">
      <alignment horizontal="center" vertical="center" wrapText="1"/>
    </xf>
    <xf numFmtId="0" fontId="0" fillId="0" borderId="0" xfId="0" pivotButton="1"/>
    <xf numFmtId="0" fontId="0" fillId="0" borderId="1" xfId="0" applyBorder="1"/>
    <xf numFmtId="0" fontId="3" fillId="0" borderId="25" xfId="0" applyFont="1" applyBorder="1" applyAlignment="1">
      <alignment horizontal="center" vertical="center"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horizontal="center"/>
    </xf>
    <xf numFmtId="0" fontId="3" fillId="0" borderId="21" xfId="0" applyFont="1" applyBorder="1" applyAlignment="1">
      <alignment horizontal="center" vertical="center" wrapText="1"/>
    </xf>
    <xf numFmtId="17" fontId="0" fillId="0" borderId="0" xfId="0" applyNumberFormat="1"/>
    <xf numFmtId="0" fontId="5" fillId="0" borderId="1" xfId="1" applyFont="1" applyBorder="1" applyAlignment="1">
      <alignment vertical="center" wrapText="1"/>
    </xf>
    <xf numFmtId="0" fontId="7" fillId="0" borderId="1" xfId="1" applyFont="1" applyBorder="1" applyAlignment="1">
      <alignment vertical="center" wrapText="1"/>
    </xf>
    <xf numFmtId="0" fontId="0" fillId="11" borderId="14" xfId="0" applyFill="1" applyBorder="1" applyAlignment="1">
      <alignment horizontal="center"/>
    </xf>
    <xf numFmtId="0" fontId="5" fillId="0" borderId="0" xfId="1" applyFont="1" applyAlignment="1">
      <alignment vertical="center" wrapText="1"/>
    </xf>
    <xf numFmtId="0" fontId="7" fillId="0" borderId="0" xfId="1" applyFont="1" applyAlignment="1">
      <alignment vertical="center" wrapText="1"/>
    </xf>
    <xf numFmtId="0" fontId="11" fillId="0" borderId="0" xfId="1" applyFont="1"/>
    <xf numFmtId="0" fontId="10" fillId="0" borderId="0" xfId="1" applyFont="1"/>
    <xf numFmtId="0" fontId="11" fillId="9" borderId="1" xfId="1" applyFont="1" applyFill="1" applyBorder="1" applyAlignment="1">
      <alignment vertical="center" wrapText="1"/>
    </xf>
    <xf numFmtId="0" fontId="11" fillId="9" borderId="3" xfId="1" applyFont="1" applyFill="1" applyBorder="1" applyAlignment="1">
      <alignment vertical="center" wrapText="1"/>
    </xf>
    <xf numFmtId="0" fontId="11" fillId="0" borderId="1" xfId="1" applyFont="1" applyBorder="1" applyAlignment="1">
      <alignment horizontal="center" vertical="center" wrapText="1"/>
    </xf>
    <xf numFmtId="0" fontId="12" fillId="0" borderId="1" xfId="1" applyFont="1" applyBorder="1" applyAlignment="1">
      <alignment horizontal="center" vertical="center" wrapText="1"/>
    </xf>
    <xf numFmtId="0" fontId="10" fillId="0" borderId="1" xfId="1" applyFont="1" applyBorder="1" applyAlignment="1">
      <alignment vertical="center" wrapText="1"/>
    </xf>
    <xf numFmtId="0" fontId="13" fillId="0" borderId="1" xfId="1" applyFont="1" applyBorder="1" applyAlignment="1">
      <alignment vertical="center" wrapText="1"/>
    </xf>
    <xf numFmtId="0" fontId="10" fillId="0" borderId="1" xfId="1" applyFont="1" applyBorder="1" applyAlignment="1">
      <alignment horizontal="left" vertical="center" wrapText="1"/>
    </xf>
    <xf numFmtId="0" fontId="13" fillId="0" borderId="1" xfId="1" applyFont="1" applyBorder="1" applyAlignment="1">
      <alignment horizontal="left" vertical="center" wrapText="1"/>
    </xf>
    <xf numFmtId="0" fontId="6" fillId="10" borderId="1" xfId="1" applyFont="1" applyFill="1" applyBorder="1" applyAlignment="1">
      <alignment horizontal="left" vertical="center" wrapText="1"/>
    </xf>
    <xf numFmtId="0" fontId="3" fillId="0" borderId="24"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1" fillId="8" borderId="25" xfId="0" applyFont="1" applyFill="1" applyBorder="1" applyAlignment="1">
      <alignment horizontal="center" vertical="center" wrapText="1"/>
    </xf>
    <xf numFmtId="0" fontId="9" fillId="0" borderId="20" xfId="3" applyBorder="1" applyAlignment="1">
      <alignment horizontal="center" vertical="center" wrapText="1"/>
    </xf>
    <xf numFmtId="0" fontId="9" fillId="0" borderId="22" xfId="3"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1" fillId="0" borderId="0" xfId="0" applyFont="1" applyAlignment="1">
      <alignment wrapText="1"/>
    </xf>
    <xf numFmtId="0" fontId="1" fillId="2" borderId="0" xfId="0" applyFont="1" applyFill="1" applyAlignment="1">
      <alignment vertical="center"/>
    </xf>
    <xf numFmtId="0" fontId="14" fillId="14" borderId="1" xfId="0" applyFont="1" applyFill="1" applyBorder="1" applyAlignment="1">
      <alignment horizontal="left" wrapText="1" readingOrder="1"/>
    </xf>
    <xf numFmtId="0" fontId="14" fillId="12" borderId="1" xfId="0" applyFont="1" applyFill="1" applyBorder="1" applyAlignment="1">
      <alignment horizontal="left" wrapText="1" readingOrder="1"/>
    </xf>
    <xf numFmtId="0" fontId="14" fillId="15" borderId="1" xfId="0" applyFont="1" applyFill="1" applyBorder="1" applyAlignment="1">
      <alignment horizontal="left" wrapText="1" readingOrder="1"/>
    </xf>
    <xf numFmtId="0" fontId="14" fillId="16" borderId="1" xfId="0" applyFont="1" applyFill="1" applyBorder="1" applyAlignment="1">
      <alignment horizontal="left" wrapText="1" readingOrder="1"/>
    </xf>
    <xf numFmtId="0" fontId="14" fillId="13" borderId="1" xfId="0" applyFont="1" applyFill="1" applyBorder="1" applyAlignment="1">
      <alignment horizontal="left" wrapText="1" readingOrder="1"/>
    </xf>
    <xf numFmtId="0" fontId="3" fillId="0" borderId="20" xfId="3" applyFont="1" applyBorder="1" applyAlignment="1">
      <alignment horizontal="center"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0" fillId="0" borderId="3" xfId="0" applyBorder="1" applyAlignment="1">
      <alignment vertical="center" wrapText="1"/>
    </xf>
    <xf numFmtId="0" fontId="3" fillId="0" borderId="0" xfId="0" applyFont="1" applyAlignment="1">
      <alignment vertical="center" wrapText="1"/>
    </xf>
    <xf numFmtId="17" fontId="0" fillId="0" borderId="0" xfId="0" applyNumberFormat="1" applyAlignment="1">
      <alignment horizontal="left"/>
    </xf>
    <xf numFmtId="0" fontId="0" fillId="0" borderId="1" xfId="0" applyBorder="1" applyAlignment="1">
      <alignment horizontal="center"/>
    </xf>
    <xf numFmtId="0" fontId="1" fillId="8" borderId="1" xfId="0" applyFont="1" applyFill="1" applyBorder="1" applyAlignment="1">
      <alignment horizontal="center" vertical="center" wrapText="1"/>
    </xf>
    <xf numFmtId="0" fontId="9" fillId="0" borderId="1" xfId="3" applyBorder="1" applyAlignment="1">
      <alignment horizontal="center" vertical="center" wrapText="1"/>
    </xf>
    <xf numFmtId="0" fontId="15" fillId="17" borderId="30" xfId="0" applyFont="1" applyFill="1" applyBorder="1" applyAlignment="1">
      <alignment horizontal="center" vertical="center"/>
    </xf>
    <xf numFmtId="0" fontId="15" fillId="17" borderId="1" xfId="0" applyFont="1" applyFill="1" applyBorder="1" applyAlignment="1">
      <alignment horizontal="center" vertical="center" wrapText="1"/>
    </xf>
    <xf numFmtId="0" fontId="15" fillId="17" borderId="32" xfId="0" applyFont="1" applyFill="1" applyBorder="1" applyAlignment="1">
      <alignment horizontal="center" vertical="center" wrapText="1"/>
    </xf>
    <xf numFmtId="0" fontId="15" fillId="17" borderId="31" xfId="0" applyFont="1" applyFill="1" applyBorder="1" applyAlignment="1">
      <alignment horizontal="center" vertical="center" wrapText="1"/>
    </xf>
    <xf numFmtId="0" fontId="15" fillId="17" borderId="34" xfId="0" applyFont="1" applyFill="1" applyBorder="1" applyAlignment="1">
      <alignment horizontal="center" vertical="center" wrapText="1"/>
    </xf>
    <xf numFmtId="0" fontId="16" fillId="8" borderId="34" xfId="0" applyFont="1" applyFill="1" applyBorder="1" applyAlignment="1">
      <alignment horizontal="center" vertical="center" wrapText="1"/>
    </xf>
    <xf numFmtId="0" fontId="15" fillId="17" borderId="35" xfId="0" applyFont="1" applyFill="1" applyBorder="1" applyAlignment="1">
      <alignment horizontal="center" vertical="center" wrapText="1"/>
    </xf>
    <xf numFmtId="0" fontId="15" fillId="0" borderId="30" xfId="0" applyFont="1" applyBorder="1" applyAlignment="1">
      <alignment horizontal="center" vertical="center"/>
    </xf>
    <xf numFmtId="0" fontId="15" fillId="0" borderId="1"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29" xfId="0" applyFont="1" applyBorder="1" applyAlignment="1">
      <alignment horizontal="center" vertical="center" wrapText="1"/>
    </xf>
    <xf numFmtId="0" fontId="15" fillId="17" borderId="1" xfId="0" applyFont="1" applyFill="1" applyBorder="1" applyAlignment="1">
      <alignment horizontal="center" vertical="center"/>
    </xf>
    <xf numFmtId="0" fontId="15" fillId="17" borderId="29" xfId="0" applyFont="1" applyFill="1" applyBorder="1" applyAlignment="1">
      <alignment horizontal="center" vertical="center" wrapText="1"/>
    </xf>
    <xf numFmtId="0" fontId="15" fillId="17" borderId="33" xfId="0" applyFont="1" applyFill="1" applyBorder="1" applyAlignment="1">
      <alignment horizontal="center" vertical="center" wrapText="1"/>
    </xf>
    <xf numFmtId="0" fontId="16" fillId="8" borderId="33" xfId="0" applyFont="1" applyFill="1" applyBorder="1" applyAlignment="1">
      <alignment horizontal="center" vertical="center" wrapText="1"/>
    </xf>
    <xf numFmtId="0" fontId="9" fillId="17" borderId="30" xfId="3" applyFill="1" applyBorder="1" applyAlignment="1">
      <alignment horizontal="center" vertical="center" wrapText="1"/>
    </xf>
    <xf numFmtId="0" fontId="9" fillId="17" borderId="1" xfId="3" applyFill="1" applyBorder="1" applyAlignment="1">
      <alignment horizontal="center" vertical="center" wrapText="1"/>
    </xf>
    <xf numFmtId="15" fontId="3" fillId="0" borderId="1" xfId="0" applyNumberFormat="1" applyFont="1" applyBorder="1" applyAlignment="1">
      <alignment horizontal="right" wrapText="1"/>
    </xf>
    <xf numFmtId="15" fontId="3" fillId="0" borderId="1" xfId="0" applyNumberFormat="1" applyFont="1" applyBorder="1" applyAlignment="1">
      <alignment horizontal="right" vertical="center" wrapText="1"/>
    </xf>
    <xf numFmtId="15" fontId="3" fillId="0" borderId="0" xfId="0" applyNumberFormat="1" applyFont="1" applyAlignment="1">
      <alignment horizontal="right" vertical="center" wrapText="1"/>
    </xf>
    <xf numFmtId="15" fontId="0" fillId="0" borderId="0" xfId="0" applyNumberFormat="1" applyAlignment="1">
      <alignment horizontal="right" vertical="center" wrapText="1"/>
    </xf>
    <xf numFmtId="15" fontId="15" fillId="17" borderId="1" xfId="0" applyNumberFormat="1" applyFont="1" applyFill="1" applyBorder="1" applyAlignment="1">
      <alignment horizontal="right" vertical="center" wrapText="1"/>
    </xf>
    <xf numFmtId="0" fontId="15" fillId="0" borderId="1" xfId="0" applyFont="1" applyBorder="1" applyAlignment="1">
      <alignment horizontal="center" vertical="center"/>
    </xf>
    <xf numFmtId="0" fontId="15" fillId="0" borderId="32" xfId="0" applyFont="1" applyBorder="1" applyAlignment="1">
      <alignment wrapText="1"/>
    </xf>
    <xf numFmtId="164" fontId="0" fillId="0" borderId="0" xfId="0" applyNumberFormat="1"/>
    <xf numFmtId="15" fontId="3" fillId="0" borderId="0" xfId="0" applyNumberFormat="1" applyFont="1" applyAlignment="1">
      <alignment vertical="center" wrapText="1"/>
    </xf>
    <xf numFmtId="0" fontId="16" fillId="17" borderId="30" xfId="0" applyFont="1" applyFill="1" applyBorder="1" applyAlignment="1">
      <alignment horizontal="center" vertical="center"/>
    </xf>
    <xf numFmtId="0" fontId="9" fillId="17" borderId="1" xfId="0" applyFont="1" applyFill="1" applyBorder="1" applyAlignment="1">
      <alignment horizontal="center" vertical="center" wrapText="1"/>
    </xf>
    <xf numFmtId="15" fontId="15" fillId="17" borderId="1" xfId="0" applyNumberFormat="1" applyFont="1" applyFill="1" applyBorder="1" applyAlignment="1">
      <alignment vertical="center" wrapText="1"/>
    </xf>
    <xf numFmtId="0" fontId="9" fillId="17" borderId="30" xfId="0" applyFont="1" applyFill="1" applyBorder="1" applyAlignment="1">
      <alignment horizontal="center" vertical="center" wrapText="1"/>
    </xf>
    <xf numFmtId="0" fontId="15" fillId="0" borderId="30" xfId="0" applyFont="1" applyBorder="1" applyAlignment="1">
      <alignment horizontal="center" vertical="center" wrapText="1"/>
    </xf>
    <xf numFmtId="0" fontId="15" fillId="0" borderId="33" xfId="0" applyFont="1" applyBorder="1" applyAlignment="1">
      <alignment horizontal="center" vertical="center" wrapText="1"/>
    </xf>
    <xf numFmtId="0" fontId="9" fillId="0" borderId="1" xfId="0" applyFont="1" applyBorder="1" applyAlignment="1">
      <alignment horizontal="center" vertical="center" wrapText="1"/>
    </xf>
    <xf numFmtId="0" fontId="17" fillId="0" borderId="1" xfId="0" applyFont="1" applyBorder="1" applyAlignment="1">
      <alignment horizontal="center" vertical="center"/>
    </xf>
    <xf numFmtId="0" fontId="17" fillId="17" borderId="1" xfId="0" applyFont="1" applyFill="1" applyBorder="1" applyAlignment="1">
      <alignment horizontal="center" vertical="center"/>
    </xf>
    <xf numFmtId="0" fontId="0" fillId="0" borderId="18" xfId="0" applyBorder="1" applyAlignment="1">
      <alignment horizontal="center" vertical="center" wrapText="1"/>
    </xf>
    <xf numFmtId="16" fontId="0" fillId="0" borderId="0" xfId="0" applyNumberFormat="1"/>
    <xf numFmtId="0" fontId="18" fillId="0" borderId="4" xfId="0" applyFont="1" applyBorder="1" applyAlignment="1">
      <alignment horizontal="center" vertical="center" wrapText="1"/>
    </xf>
    <xf numFmtId="0" fontId="15" fillId="17" borderId="36" xfId="0" applyFont="1" applyFill="1" applyBorder="1" applyAlignment="1">
      <alignment vertical="center" wrapText="1"/>
    </xf>
    <xf numFmtId="0" fontId="15" fillId="0" borderId="31" xfId="0" applyFont="1" applyBorder="1" applyAlignment="1">
      <alignment horizontal="center" vertical="center" wrapText="1"/>
    </xf>
    <xf numFmtId="0" fontId="15" fillId="0" borderId="30" xfId="0" applyFont="1" applyBorder="1" applyAlignment="1">
      <alignment vertical="center" wrapText="1"/>
    </xf>
    <xf numFmtId="0" fontId="15" fillId="0" borderId="35" xfId="0" applyFont="1" applyBorder="1" applyAlignment="1">
      <alignment horizontal="center" vertical="center" wrapText="1"/>
    </xf>
    <xf numFmtId="0" fontId="9" fillId="0" borderId="30" xfId="3" applyBorder="1" applyAlignment="1">
      <alignment horizontal="center" vertical="center" wrapText="1"/>
    </xf>
    <xf numFmtId="0" fontId="15" fillId="17" borderId="1" xfId="0" applyFont="1" applyFill="1" applyBorder="1" applyAlignment="1">
      <alignment vertical="center" wrapText="1"/>
    </xf>
    <xf numFmtId="0" fontId="3" fillId="17" borderId="1" xfId="3" applyFont="1" applyFill="1" applyBorder="1" applyAlignment="1">
      <alignment horizontal="center" vertical="center" wrapText="1"/>
    </xf>
    <xf numFmtId="15" fontId="15" fillId="17" borderId="1" xfId="0" applyNumberFormat="1" applyFont="1" applyFill="1" applyBorder="1" applyAlignment="1">
      <alignment horizontal="center" vertical="center" wrapText="1"/>
    </xf>
    <xf numFmtId="0" fontId="3" fillId="0" borderId="30" xfId="0" applyFont="1" applyBorder="1" applyAlignment="1">
      <alignment horizontal="center" vertical="center" wrapText="1"/>
    </xf>
    <xf numFmtId="0" fontId="0" fillId="0" borderId="24" xfId="0" applyBorder="1" applyAlignment="1">
      <alignment wrapText="1"/>
    </xf>
    <xf numFmtId="15" fontId="3" fillId="0" borderId="20" xfId="0" applyNumberFormat="1" applyFont="1" applyBorder="1" applyAlignment="1">
      <alignment horizontal="center" vertical="center" wrapText="1"/>
    </xf>
    <xf numFmtId="15" fontId="3" fillId="0" borderId="1" xfId="0" applyNumberFormat="1" applyFont="1" applyBorder="1" applyAlignment="1">
      <alignment horizontal="center" vertical="center" wrapText="1"/>
    </xf>
    <xf numFmtId="0" fontId="3" fillId="0" borderId="19" xfId="0" applyFont="1" applyBorder="1" applyAlignment="1">
      <alignment horizontal="center" vertical="center"/>
    </xf>
    <xf numFmtId="0" fontId="0" fillId="0" borderId="23" xfId="0" applyBorder="1" applyAlignment="1">
      <alignment vertical="center" wrapText="1"/>
    </xf>
    <xf numFmtId="0" fontId="3" fillId="0" borderId="23" xfId="0" applyFont="1" applyBorder="1" applyAlignment="1">
      <alignment wrapText="1"/>
    </xf>
    <xf numFmtId="0" fontId="3" fillId="0" borderId="20" xfId="0" applyFont="1" applyBorder="1" applyAlignment="1">
      <alignment horizontal="left" vertical="center" wrapText="1"/>
    </xf>
    <xf numFmtId="0" fontId="3" fillId="8" borderId="25" xfId="0" applyFont="1" applyFill="1" applyBorder="1" applyAlignment="1">
      <alignment horizontal="center"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3" fillId="0" borderId="0" xfId="0" applyFont="1" applyAlignment="1">
      <alignment horizontal="center" vertical="center"/>
    </xf>
    <xf numFmtId="0" fontId="15" fillId="0" borderId="3" xfId="0" applyFont="1" applyBorder="1" applyAlignment="1">
      <alignment horizontal="center" vertical="center" wrapText="1"/>
    </xf>
    <xf numFmtId="0" fontId="3" fillId="0" borderId="23" xfId="0" applyFont="1" applyBorder="1" applyAlignment="1">
      <alignment horizontal="left"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3" fillId="0" borderId="3" xfId="0" applyFont="1" applyBorder="1" applyAlignment="1">
      <alignment horizontal="center" vertical="center"/>
    </xf>
    <xf numFmtId="16" fontId="3" fillId="0" borderId="23" xfId="0" applyNumberFormat="1" applyFont="1" applyBorder="1" applyAlignment="1">
      <alignment horizontal="center" vertical="center" wrapText="1"/>
    </xf>
    <xf numFmtId="0" fontId="8" fillId="0" borderId="26" xfId="2" applyAlignment="1">
      <alignment horizontal="center"/>
    </xf>
    <xf numFmtId="0" fontId="1" fillId="4" borderId="27" xfId="0" applyFont="1" applyFill="1" applyBorder="1" applyAlignment="1">
      <alignment horizontal="center" vertical="center"/>
    </xf>
    <xf numFmtId="0" fontId="1" fillId="4" borderId="0" xfId="0" applyFont="1" applyFill="1" applyAlignment="1">
      <alignment horizontal="center" vertical="center"/>
    </xf>
    <xf numFmtId="0" fontId="1" fillId="3" borderId="2" xfId="0" applyFont="1" applyFill="1" applyBorder="1" applyAlignment="1">
      <alignment horizontal="center" vertical="center"/>
    </xf>
    <xf numFmtId="0" fontId="1" fillId="3" borderId="28" xfId="0" applyFont="1" applyFill="1" applyBorder="1" applyAlignment="1">
      <alignment horizontal="center" vertical="center"/>
    </xf>
    <xf numFmtId="0" fontId="1" fillId="0" borderId="0" xfId="0" applyFont="1" applyAlignment="1">
      <alignment horizontal="center" vertical="center" textRotation="90"/>
    </xf>
    <xf numFmtId="0" fontId="0" fillId="0" borderId="0" xfId="0" applyAlignment="1">
      <alignment horizontal="center"/>
    </xf>
    <xf numFmtId="0" fontId="1" fillId="0" borderId="0" xfId="0" applyFont="1" applyAlignment="1">
      <alignment horizontal="center"/>
    </xf>
    <xf numFmtId="0" fontId="13" fillId="0" borderId="20" xfId="1" applyFont="1" applyBorder="1" applyAlignment="1">
      <alignment vertical="center" wrapText="1"/>
    </xf>
    <xf numFmtId="0" fontId="13" fillId="0" borderId="21" xfId="1" applyFont="1" applyBorder="1" applyAlignment="1">
      <alignment vertical="center" wrapText="1"/>
    </xf>
    <xf numFmtId="0" fontId="13" fillId="0" borderId="19" xfId="1" applyFont="1" applyBorder="1" applyAlignment="1">
      <alignment vertical="center" wrapText="1"/>
    </xf>
    <xf numFmtId="0" fontId="10" fillId="0" borderId="20" xfId="1" applyFont="1" applyBorder="1" applyAlignment="1">
      <alignment vertical="center" wrapText="1"/>
    </xf>
    <xf numFmtId="0" fontId="10" fillId="0" borderId="21" xfId="1" applyFont="1" applyBorder="1" applyAlignment="1">
      <alignment vertical="center" wrapText="1"/>
    </xf>
    <xf numFmtId="0" fontId="10" fillId="0" borderId="19" xfId="1" applyFont="1" applyBorder="1" applyAlignment="1">
      <alignment vertical="center" wrapText="1"/>
    </xf>
    <xf numFmtId="0" fontId="6" fillId="10" borderId="20" xfId="1" applyFont="1" applyFill="1" applyBorder="1" applyAlignment="1">
      <alignment horizontal="center" vertical="center" wrapText="1"/>
    </xf>
    <xf numFmtId="0" fontId="6" fillId="10" borderId="21" xfId="1" applyFont="1" applyFill="1" applyBorder="1" applyAlignment="1">
      <alignment horizontal="center" vertical="center" wrapText="1"/>
    </xf>
    <xf numFmtId="0" fontId="6" fillId="10" borderId="19" xfId="1" applyFont="1" applyFill="1" applyBorder="1" applyAlignment="1">
      <alignment horizontal="center" vertical="center" wrapText="1"/>
    </xf>
    <xf numFmtId="0" fontId="0" fillId="0" borderId="0" xfId="0" applyNumberFormat="1"/>
  </cellXfs>
  <cellStyles count="4">
    <cellStyle name="Heading 1" xfId="2" builtinId="16"/>
    <cellStyle name="Hyperlink" xfId="3" builtinId="8"/>
    <cellStyle name="Normal" xfId="0" builtinId="0"/>
    <cellStyle name="Normal 2" xfId="1"/>
  </cellStyles>
  <dxfs count="323">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bgColor rgb="FFFF00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FFFF00"/>
        </patternFill>
      </fill>
    </dxf>
    <dxf>
      <font>
        <color theme="0"/>
      </font>
      <fill>
        <patternFill>
          <bgColor rgb="FFC00000"/>
        </patternFill>
      </fill>
    </dxf>
    <dxf>
      <fill>
        <patternFill>
          <bgColor rgb="FFFF0000"/>
        </patternFill>
      </fill>
    </dxf>
    <dxf>
      <fill>
        <patternFill>
          <bgColor rgb="FF00FF00"/>
        </patternFill>
      </fill>
    </dxf>
    <dxf>
      <fill>
        <patternFill>
          <bgColor rgb="FFFFFF00"/>
        </patternFill>
      </fill>
    </dxf>
    <dxf>
      <fill>
        <patternFill>
          <bgColor rgb="FF00FF00"/>
        </patternFill>
      </fill>
    </dxf>
    <dxf>
      <fill>
        <patternFill>
          <bgColor rgb="FFFFFF00"/>
        </patternFill>
      </fill>
    </dxf>
    <dxf>
      <fill>
        <patternFill>
          <bgColor rgb="FFFF0000"/>
        </patternFill>
      </fill>
    </dxf>
    <dxf>
      <font>
        <color theme="0"/>
      </font>
      <fill>
        <patternFill>
          <bgColor rgb="FFC00000"/>
        </patternFill>
      </fill>
    </dxf>
    <dxf>
      <font>
        <color theme="0"/>
      </font>
      <fill>
        <patternFill>
          <bgColor rgb="FFC00000"/>
        </patternFill>
      </fill>
    </dxf>
    <dxf>
      <fill>
        <patternFill>
          <bgColor rgb="FF00FF00"/>
        </patternFill>
      </fill>
    </dxf>
    <dxf>
      <fill>
        <patternFill>
          <bgColor rgb="FFFFFF00"/>
        </patternFill>
      </fill>
    </dxf>
    <dxf>
      <fill>
        <patternFill>
          <bgColor rgb="FFFFFF00"/>
        </patternFill>
      </fill>
    </dxf>
    <dxf>
      <fill>
        <patternFill>
          <bgColor rgb="FF00FF00"/>
        </patternFill>
      </fill>
    </dxf>
    <dxf>
      <fill>
        <patternFill>
          <bgColor rgb="FFFF0000"/>
        </patternFill>
      </fill>
    </dxf>
    <dxf>
      <fill>
        <patternFill>
          <bgColor rgb="FFFFFF00"/>
        </patternFill>
      </fill>
    </dxf>
    <dxf>
      <fill>
        <patternFill>
          <bgColor rgb="FF00FF00"/>
        </patternFill>
      </fill>
    </dxf>
    <dxf>
      <font>
        <color theme="0"/>
      </font>
      <fill>
        <patternFill>
          <bgColor rgb="FFC00000"/>
        </patternFill>
      </fill>
    </dxf>
    <dxf>
      <fill>
        <patternFill>
          <bgColor rgb="FFFF0000"/>
        </patternFill>
      </fill>
    </dxf>
    <dxf>
      <fill>
        <patternFill>
          <bgColor theme="9"/>
        </patternFill>
      </fill>
    </dxf>
    <dxf>
      <font>
        <color theme="0"/>
      </font>
      <fill>
        <patternFill>
          <bgColor rgb="FFC00000"/>
        </patternFill>
      </fill>
    </dxf>
    <dxf>
      <font>
        <color theme="0"/>
      </font>
      <fill>
        <patternFill>
          <bgColor rgb="FFC00000"/>
        </patternFill>
      </fill>
    </dxf>
    <dxf>
      <fill>
        <patternFill>
          <bgColor theme="9"/>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ill>
        <patternFill>
          <bgColor theme="9"/>
        </patternFill>
      </fill>
    </dxf>
    <dxf>
      <font>
        <color theme="0"/>
      </font>
      <fill>
        <patternFill>
          <bgColor rgb="FFC000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ill>
        <patternFill>
          <bgColor rgb="FF00FF00"/>
        </patternFill>
      </fill>
    </dxf>
    <dxf>
      <fill>
        <patternFill>
          <bgColor rgb="FFFFFF00"/>
        </patternFill>
      </fill>
    </dxf>
    <dxf>
      <fill>
        <patternFill>
          <bgColor rgb="FFFF0000"/>
        </patternFill>
      </fill>
    </dxf>
    <dxf>
      <fill>
        <patternFill>
          <bgColor rgb="FFFFFF00"/>
        </patternFill>
      </fill>
    </dxf>
    <dxf>
      <fill>
        <patternFill>
          <bgColor rgb="FF00FF00"/>
        </patternFill>
      </fill>
    </dxf>
    <dxf>
      <font>
        <color theme="0"/>
      </font>
      <fill>
        <patternFill>
          <bgColor rgb="FFC00000"/>
        </patternFill>
      </fill>
    </dxf>
    <dxf>
      <fill>
        <patternFill>
          <bgColor rgb="FFFFFF00"/>
        </patternFill>
      </fill>
    </dxf>
    <dxf>
      <fill>
        <patternFill>
          <bgColor theme="9"/>
        </patternFill>
      </fill>
    </dxf>
    <dxf>
      <font>
        <color theme="0"/>
      </font>
      <fill>
        <patternFill>
          <bgColor rgb="FFC00000"/>
        </patternFill>
      </fill>
    </dxf>
    <dxf>
      <fill>
        <patternFill>
          <bgColor rgb="FF00FF00"/>
        </patternFill>
      </fill>
    </dxf>
    <dxf>
      <fill>
        <patternFill>
          <bgColor rgb="FF00FF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FFFF00"/>
        </patternFill>
      </fill>
    </dxf>
    <dxf>
      <font>
        <color theme="0"/>
      </font>
      <fill>
        <patternFill>
          <bgColor rgb="FFC00000"/>
        </patternFill>
      </fill>
    </dxf>
    <dxf>
      <fill>
        <patternFill>
          <bgColor rgb="FF00FF00"/>
        </patternFill>
      </fill>
    </dxf>
    <dxf>
      <fill>
        <patternFill>
          <bgColor rgb="FFFF0000"/>
        </patternFill>
      </fill>
    </dxf>
    <dxf>
      <fill>
        <patternFill>
          <bgColor rgb="FF00FF00"/>
        </patternFill>
      </fill>
    </dxf>
    <dxf>
      <font>
        <color theme="0"/>
      </font>
      <fill>
        <patternFill>
          <bgColor rgb="FFC00000"/>
        </patternFill>
      </fill>
    </dxf>
    <dxf>
      <fill>
        <patternFill>
          <bgColor rgb="FFFFFF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ill>
        <patternFill>
          <bgColor rgb="FF00FF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ill>
        <patternFill>
          <bgColor theme="9"/>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ill>
        <patternFill>
          <bgColor rgb="FF00FF00"/>
        </patternFill>
      </fill>
    </dxf>
    <dxf>
      <fill>
        <patternFill>
          <bgColor theme="9"/>
        </patternFill>
      </fill>
    </dxf>
    <dxf>
      <fill>
        <patternFill>
          <bgColor rgb="FFFFFF00"/>
        </patternFill>
      </fill>
    </dxf>
    <dxf>
      <font>
        <color theme="0"/>
      </font>
      <fill>
        <patternFill>
          <bgColor rgb="FFC00000"/>
        </patternFill>
      </fill>
    </dxf>
    <dxf>
      <fill>
        <patternFill>
          <bgColor rgb="FF00FF00"/>
        </patternFill>
      </fill>
    </dxf>
    <dxf>
      <fill>
        <patternFill>
          <bgColor rgb="FFFFFF00"/>
        </patternFill>
      </fill>
    </dxf>
    <dxf>
      <font>
        <color theme="0"/>
      </font>
      <fill>
        <patternFill>
          <bgColor rgb="FFC00000"/>
        </patternFill>
      </fill>
    </dxf>
    <dxf>
      <fill>
        <patternFill>
          <bgColor rgb="FF00FF00"/>
        </patternFill>
      </fill>
    </dxf>
    <dxf>
      <fill>
        <patternFill>
          <bgColor rgb="FFFF0000"/>
        </patternFill>
      </fill>
    </dxf>
    <dxf>
      <fill>
        <patternFill>
          <bgColor rgb="FFFFFF00"/>
        </patternFill>
      </fill>
    </dxf>
    <dxf>
      <fill>
        <patternFill>
          <bgColor rgb="FFFFFF00"/>
        </patternFill>
      </fill>
    </dxf>
    <dxf>
      <font>
        <color theme="0"/>
      </font>
      <fill>
        <patternFill>
          <bgColor rgb="FFC00000"/>
        </patternFill>
      </fill>
    </dxf>
    <dxf>
      <fill>
        <patternFill>
          <bgColor theme="9"/>
        </patternFill>
      </fill>
    </dxf>
    <dxf>
      <fill>
        <patternFill>
          <bgColor rgb="FFFFFF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00FF00"/>
        </patternFill>
      </fill>
    </dxf>
    <dxf>
      <fill>
        <patternFill>
          <bgColor rgb="FFFFFF00"/>
        </patternFill>
      </fill>
    </dxf>
    <dxf>
      <font>
        <color theme="0"/>
      </font>
      <fill>
        <patternFill>
          <bgColor rgb="FFC00000"/>
        </patternFill>
      </fill>
    </dxf>
    <dxf>
      <fill>
        <patternFill>
          <bgColor theme="9"/>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FFFF00"/>
        </patternFill>
      </fill>
    </dxf>
    <dxf>
      <font>
        <color theme="0"/>
      </font>
      <fill>
        <patternFill>
          <bgColor rgb="FFC00000"/>
        </patternFill>
      </fill>
    </dxf>
    <dxf>
      <fill>
        <patternFill>
          <bgColor rgb="FF00FF00"/>
        </patternFill>
      </fill>
    </dxf>
    <dxf>
      <fill>
        <patternFill>
          <bgColor rgb="FFFFFF00"/>
        </patternFill>
      </fill>
    </dxf>
    <dxf>
      <fill>
        <patternFill>
          <bgColor theme="9"/>
        </patternFill>
      </fill>
    </dxf>
    <dxf>
      <font>
        <color theme="0"/>
      </font>
      <fill>
        <patternFill>
          <bgColor rgb="FFC00000"/>
        </patternFill>
      </fill>
    </dxf>
    <dxf>
      <fill>
        <patternFill>
          <bgColor rgb="FF00FF00"/>
        </patternFill>
      </fill>
    </dxf>
    <dxf>
      <fill>
        <patternFill>
          <bgColor rgb="FFFFFF00"/>
        </patternFill>
      </fill>
    </dxf>
    <dxf>
      <fill>
        <patternFill>
          <bgColor rgb="FFFF0000"/>
        </patternFill>
      </fill>
    </dxf>
    <dxf>
      <font>
        <color theme="0"/>
      </font>
      <fill>
        <patternFill>
          <bgColor rgb="FFC00000"/>
        </patternFill>
      </fill>
    </dxf>
    <dxf>
      <fill>
        <patternFill>
          <bgColor rgb="FF00FF00"/>
        </patternFill>
      </fill>
    </dxf>
    <dxf>
      <fill>
        <patternFill>
          <bgColor rgb="FFFFFF00"/>
        </patternFill>
      </fill>
    </dxf>
    <dxf>
      <fill>
        <patternFill>
          <bgColor theme="9"/>
        </patternFill>
      </fill>
    </dxf>
    <dxf>
      <font>
        <color theme="0"/>
      </font>
      <fill>
        <patternFill>
          <bgColor rgb="FFC00000"/>
        </patternFill>
      </fill>
    </dxf>
    <dxf>
      <fill>
        <patternFill>
          <bgColor theme="9"/>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ont>
        <color theme="0"/>
      </font>
      <fill>
        <patternFill>
          <bgColor rgb="FFC00000"/>
        </patternFill>
      </fill>
    </dxf>
    <dxf>
      <font>
        <color theme="0"/>
      </font>
      <fill>
        <patternFill>
          <bgColor rgb="FFC00000"/>
        </patternFill>
      </fill>
    </dxf>
    <dxf>
      <fill>
        <patternFill>
          <bgColor theme="9"/>
        </patternFill>
      </fill>
    </dxf>
    <dxf>
      <fill>
        <patternFill>
          <bgColor rgb="FFFFFF00"/>
        </patternFill>
      </fill>
    </dxf>
    <dxf>
      <fill>
        <patternFill>
          <bgColor rgb="FF00FF00"/>
        </patternFill>
      </fill>
    </dxf>
    <dxf>
      <font>
        <color theme="0"/>
      </font>
      <fill>
        <patternFill>
          <bgColor rgb="FFC00000"/>
        </patternFill>
      </fill>
    </dxf>
    <dxf>
      <fill>
        <patternFill>
          <bgColor rgb="FFFF0000"/>
        </patternFill>
      </fill>
    </dxf>
    <dxf>
      <fill>
        <patternFill>
          <bgColor rgb="FFFFFF00"/>
        </patternFill>
      </fill>
    </dxf>
    <dxf>
      <fill>
        <patternFill>
          <bgColor rgb="FF00FF00"/>
        </patternFill>
      </fill>
    </dxf>
    <dxf>
      <fill>
        <patternFill>
          <bgColor rgb="FFFF0000"/>
        </patternFill>
      </fill>
    </dxf>
    <dxf>
      <fill>
        <patternFill>
          <bgColor rgb="FF00FF00"/>
        </patternFill>
      </fill>
    </dxf>
    <dxf>
      <font>
        <color theme="0"/>
      </font>
      <fill>
        <patternFill>
          <bgColor rgb="FFC00000"/>
        </patternFill>
      </fill>
    </dxf>
    <dxf>
      <fill>
        <patternFill>
          <bgColor rgb="FFFFFF00"/>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ill>
        <patternFill>
          <bgColor rgb="FFFFFF00"/>
        </patternFill>
      </fill>
    </dxf>
    <dxf>
      <font>
        <color theme="0"/>
      </font>
      <fill>
        <patternFill>
          <bgColor rgb="FFC00000"/>
        </patternFill>
      </fill>
    </dxf>
    <dxf>
      <fill>
        <patternFill>
          <bgColor rgb="FF00FF00"/>
        </patternFill>
      </fill>
    </dxf>
    <dxf>
      <fill>
        <patternFill>
          <bgColor rgb="FFFF0000"/>
        </patternFill>
      </fill>
    </dxf>
    <dxf>
      <fill>
        <patternFill>
          <bgColor rgb="FFFFFF00"/>
        </patternFill>
      </fill>
    </dxf>
    <dxf>
      <font>
        <color theme="0"/>
      </font>
      <fill>
        <patternFill>
          <bgColor rgb="FFC00000"/>
        </patternFill>
      </fill>
    </dxf>
    <dxf>
      <fill>
        <patternFill>
          <bgColor rgb="FF00FF00"/>
        </patternFill>
      </fill>
    </dxf>
    <dxf>
      <fill>
        <patternFill>
          <bgColor rgb="FFFF0000"/>
        </patternFill>
      </fill>
    </dxf>
    <dxf>
      <fill>
        <patternFill>
          <bgColor rgb="FFFFFF00"/>
        </patternFill>
      </fill>
    </dxf>
    <dxf>
      <fill>
        <patternFill>
          <bgColor rgb="FF00FF00"/>
        </patternFill>
      </fill>
    </dxf>
    <dxf>
      <font>
        <color theme="0"/>
      </font>
      <fill>
        <patternFill>
          <bgColor rgb="FFC00000"/>
        </patternFill>
      </fill>
    </dxf>
    <dxf>
      <fill>
        <patternFill>
          <bgColor rgb="FFFF0000"/>
        </patternFill>
      </fill>
    </dxf>
    <dxf>
      <fill>
        <patternFill>
          <bgColor theme="9"/>
        </patternFill>
      </fill>
    </dxf>
    <dxf>
      <fill>
        <patternFill>
          <bgColor rgb="FFFFFF00"/>
        </patternFill>
      </fill>
    </dxf>
    <dxf>
      <font>
        <color theme="0"/>
      </font>
      <fill>
        <patternFill>
          <bgColor rgb="FFC00000"/>
        </patternFill>
      </fill>
    </dxf>
    <dxf>
      <fill>
        <patternFill>
          <bgColor rgb="FF00FF00"/>
        </patternFill>
      </fill>
    </dxf>
    <dxf>
      <fill>
        <patternFill>
          <bgColor rgb="FFFF0000"/>
        </patternFill>
      </fill>
    </dxf>
    <dxf>
      <font>
        <color theme="0"/>
      </font>
      <fill>
        <patternFill>
          <bgColor rgb="FFC000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theme="9"/>
        </patternFill>
      </fill>
    </dxf>
    <dxf>
      <fill>
        <patternFill>
          <bgColor rgb="FF00FF00"/>
        </patternFill>
      </fill>
    </dxf>
    <dxf>
      <fill>
        <patternFill>
          <bgColor rgb="FFFFFF00"/>
        </patternFill>
      </fill>
    </dxf>
    <dxf>
      <fill>
        <patternFill>
          <bgColor rgb="FFFF0000"/>
        </patternFill>
      </fill>
    </dxf>
    <dxf>
      <font>
        <color theme="0"/>
      </font>
      <fill>
        <patternFill>
          <bgColor rgb="FFC00000"/>
        </patternFill>
      </fill>
    </dxf>
    <dxf>
      <font>
        <color theme="0"/>
      </font>
      <fill>
        <patternFill>
          <bgColor rgb="FFC00000"/>
        </patternFill>
      </fill>
    </dxf>
    <dxf>
      <fill>
        <patternFill>
          <bgColor rgb="FFFFFF00"/>
        </patternFill>
      </fill>
    </dxf>
    <dxf>
      <fill>
        <patternFill>
          <bgColor theme="9"/>
        </patternFill>
      </fill>
    </dxf>
    <dxf>
      <fill>
        <patternFill>
          <bgColor rgb="FF00FF00"/>
        </patternFill>
      </fill>
    </dxf>
    <dxf>
      <font>
        <color theme="0"/>
      </font>
      <fill>
        <patternFill>
          <bgColor rgb="FFC00000"/>
        </patternFill>
      </fill>
    </dxf>
    <dxf>
      <fill>
        <patternFill>
          <bgColor rgb="FFFF0000"/>
        </patternFill>
      </fill>
    </dxf>
    <dxf>
      <fill>
        <patternFill>
          <bgColor rgb="FF00FF00"/>
        </patternFill>
      </fill>
    </dxf>
    <dxf>
      <fill>
        <patternFill>
          <bgColor rgb="FFFFFF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ont>
        <color theme="0"/>
      </font>
      <fill>
        <patternFill>
          <bgColor rgb="FFC00000"/>
        </patternFill>
      </fill>
    </dxf>
    <dxf>
      <fill>
        <patternFill>
          <bgColor rgb="FF00FF00"/>
        </patternFill>
      </fill>
    </dxf>
    <dxf>
      <fill>
        <patternFill>
          <bgColor rgb="FFFFFF00"/>
        </patternFill>
      </fill>
    </dxf>
    <dxf>
      <fill>
        <patternFill>
          <bgColor rgb="FFFF0000"/>
        </patternFill>
      </fill>
    </dxf>
    <dxf>
      <font>
        <color theme="0"/>
      </font>
      <fill>
        <patternFill>
          <bgColor rgb="FFC000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00FF00"/>
        </patternFill>
      </fill>
    </dxf>
    <dxf>
      <fill>
        <patternFill>
          <bgColor rgb="FFFFFF00"/>
        </patternFill>
      </fill>
    </dxf>
    <dxf>
      <fill>
        <patternFill>
          <bgColor rgb="FFFF0000"/>
        </patternFill>
      </fill>
    </dxf>
    <dxf>
      <fill>
        <patternFill>
          <bgColor rgb="FFFFFF00"/>
        </patternFill>
      </fill>
    </dxf>
    <dxf>
      <font>
        <color theme="0"/>
      </font>
      <fill>
        <patternFill>
          <bgColor rgb="FFC00000"/>
        </patternFill>
      </fill>
    </dxf>
    <dxf>
      <fill>
        <patternFill>
          <bgColor rgb="FF00FF00"/>
        </patternFill>
      </fill>
    </dxf>
    <dxf>
      <fill>
        <patternFill>
          <bgColor rgb="FFFF0000"/>
        </patternFill>
      </fill>
    </dxf>
    <dxf>
      <fill>
        <patternFill>
          <bgColor theme="9"/>
        </patternFill>
      </fill>
    </dxf>
    <dxf>
      <fill>
        <patternFill>
          <bgColor rgb="FFFFFF00"/>
        </patternFill>
      </fill>
    </dxf>
    <dxf>
      <font>
        <color theme="0"/>
      </font>
      <fill>
        <patternFill>
          <bgColor rgb="FFC00000"/>
        </patternFill>
      </fill>
    </dxf>
    <dxf>
      <fill>
        <patternFill>
          <bgColor rgb="FFFFFF00"/>
        </patternFill>
      </fill>
    </dxf>
    <dxf>
      <fill>
        <patternFill>
          <bgColor rgb="FF00FF00"/>
        </patternFill>
      </fill>
    </dxf>
    <dxf>
      <font>
        <color theme="0"/>
      </font>
      <fill>
        <patternFill>
          <bgColor rgb="FFC00000"/>
        </patternFill>
      </fill>
    </dxf>
    <dxf>
      <fill>
        <patternFill>
          <bgColor rgb="FFFF0000"/>
        </patternFill>
      </fill>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scheme val="none"/>
      </font>
      <fill>
        <patternFill patternType="solid">
          <fgColor indexed="64"/>
          <bgColor indexed="41"/>
        </patternFill>
      </fill>
      <alignment horizontal="center" vertical="center" textRotation="0" wrapText="1" indent="0" justifyLastLine="0" shrinkToFit="0" readingOrder="0"/>
      <border diagonalUp="0" diagonalDown="0">
        <left/>
        <right style="thin">
          <color indexed="64"/>
        </right>
        <top/>
        <bottom/>
        <vertical/>
        <horizontal/>
      </border>
    </dxf>
    <dxf>
      <numFmt numFmtId="0" formatCode="General"/>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0"/>
        <color auto="1"/>
        <name val="Arial"/>
        <scheme val="none"/>
      </font>
      <fill>
        <patternFill patternType="solid">
          <fgColor indexed="64"/>
          <bgColor indexed="41"/>
        </patternFill>
      </fill>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alignment horizontal="center" vertical="center"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rgb="FFFF0000"/>
        </patternFill>
      </fill>
    </dxf>
    <dxf>
      <font>
        <color theme="0"/>
      </font>
      <fill>
        <patternFill>
          <bgColor rgb="FFC00000"/>
        </patternFill>
      </fill>
    </dxf>
    <dxf>
      <fill>
        <patternFill>
          <bgColor rgb="FFFF0000"/>
        </patternFill>
      </fill>
    </dxf>
    <dxf>
      <fill>
        <patternFill>
          <bgColor rgb="FFFFFF00"/>
        </patternFill>
      </fill>
    </dxf>
    <dxf>
      <font>
        <color theme="0"/>
      </font>
      <fill>
        <patternFill>
          <bgColor rgb="FFC00000"/>
        </patternFill>
      </fill>
    </dxf>
    <dxf>
      <fill>
        <patternFill>
          <bgColor rgb="FFFF0000"/>
        </patternFill>
      </fill>
    </dxf>
    <dxf>
      <fill>
        <patternFill>
          <bgColor rgb="FF00FF00"/>
        </patternFill>
      </fill>
    </dxf>
    <dxf>
      <fill>
        <patternFill>
          <bgColor rgb="FFFF0000"/>
        </patternFill>
      </fill>
    </dxf>
    <dxf>
      <fill>
        <patternFill>
          <bgColor rgb="FFFFFF00"/>
        </patternFill>
      </fill>
    </dxf>
    <dxf>
      <fill>
        <patternFill>
          <bgColor rgb="FF00FF00"/>
        </patternFill>
      </fill>
    </dxf>
    <dxf>
      <font>
        <color theme="0"/>
      </font>
      <fill>
        <patternFill>
          <bgColor rgb="FFC00000"/>
        </patternFill>
      </fill>
    </dxf>
    <dxf>
      <fill>
        <patternFill>
          <bgColor rgb="FFFFFF00"/>
        </patternFill>
      </fill>
    </dxf>
    <dxf>
      <fill>
        <patternFill>
          <bgColor rgb="FFFF0000"/>
        </patternFill>
      </fill>
    </dxf>
    <dxf>
      <font>
        <color theme="0"/>
      </font>
      <fill>
        <patternFill>
          <bgColor rgb="FFC00000"/>
        </patternFill>
      </fill>
    </dxf>
    <dxf>
      <font>
        <color theme="0"/>
      </font>
      <fill>
        <patternFill>
          <bgColor rgb="FFC00000"/>
        </patternFill>
      </fill>
    </dxf>
    <dxf>
      <fill>
        <patternFill>
          <bgColor rgb="FF00FF00"/>
        </patternFill>
      </fill>
    </dxf>
    <dxf>
      <fill>
        <patternFill>
          <bgColor rgb="FFFFFF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ill>
        <patternFill>
          <bgColor rgb="FF00FF00"/>
        </patternFill>
      </fill>
    </dxf>
    <dxf>
      <fill>
        <patternFill>
          <bgColor rgb="FFFFFF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00FF00"/>
        </patternFill>
      </fill>
    </dxf>
    <dxf>
      <fill>
        <patternFill>
          <bgColor rgb="FFFF0000"/>
        </patternFill>
      </fill>
    </dxf>
    <dxf>
      <fill>
        <patternFill>
          <bgColor rgb="FFFFFF00"/>
        </patternFill>
      </fill>
    </dxf>
    <dxf>
      <fill>
        <patternFill>
          <bgColor rgb="FFFFFF00"/>
        </patternFill>
      </fill>
    </dxf>
    <dxf>
      <fill>
        <patternFill>
          <bgColor rgb="FF00FF00"/>
        </patternFill>
      </fill>
    </dxf>
    <dxf>
      <fill>
        <patternFill>
          <bgColor rgb="FF00FF00"/>
        </patternFill>
      </fill>
    </dxf>
    <dxf>
      <fill>
        <patternFill>
          <bgColor rgb="FF00FF00"/>
        </patternFill>
      </fill>
    </dxf>
    <dxf>
      <font>
        <color theme="0"/>
      </font>
      <fill>
        <patternFill>
          <bgColor rgb="FFC00000"/>
        </patternFill>
      </fill>
    </dxf>
    <dxf>
      <fill>
        <patternFill>
          <bgColor rgb="FFFFFF00"/>
        </patternFill>
      </fill>
    </dxf>
    <dxf>
      <fill>
        <patternFill>
          <bgColor rgb="FF00FF00"/>
        </patternFill>
      </fill>
    </dxf>
    <dxf>
      <fill>
        <patternFill>
          <bgColor rgb="FFFF0000"/>
        </patternFill>
      </fill>
    </dxf>
    <dxf>
      <fill>
        <patternFill>
          <bgColor rgb="FFFFFF00"/>
        </patternFill>
      </fill>
    </dxf>
    <dxf>
      <fill>
        <patternFill>
          <bgColor rgb="FF00FF00"/>
        </patternFill>
      </fill>
    </dxf>
    <dxf>
      <font>
        <color theme="0"/>
      </font>
      <fill>
        <patternFill>
          <bgColor rgb="FFC00000"/>
        </patternFill>
      </fill>
    </dxf>
    <dxf>
      <fill>
        <patternFill>
          <bgColor rgb="FFFFFF00"/>
        </patternFill>
      </fill>
    </dxf>
    <dxf>
      <fill>
        <patternFill>
          <bgColor rgb="FFFF00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ont>
        <color theme="0"/>
      </font>
      <fill>
        <patternFill>
          <bgColor rgb="FFC00000"/>
        </patternFill>
      </fill>
    </dxf>
    <dxf>
      <fill>
        <patternFill>
          <bgColor rgb="FF00FF00"/>
        </patternFill>
      </fill>
    </dxf>
    <dxf>
      <fill>
        <patternFill>
          <bgColor rgb="FFFFFF00"/>
        </patternFill>
      </fill>
    </dxf>
    <dxf>
      <fill>
        <patternFill>
          <bgColor rgb="FFFF0000"/>
        </patternFill>
      </fill>
    </dxf>
    <dxf>
      <fill>
        <patternFill>
          <bgColor rgb="FF00FF00"/>
        </patternFill>
      </fill>
    </dxf>
    <dxf>
      <font>
        <color theme="0"/>
      </font>
      <fill>
        <patternFill>
          <bgColor rgb="FFC00000"/>
        </patternFill>
      </fill>
    </dxf>
    <dxf>
      <fill>
        <patternFill>
          <bgColor rgb="FFFFFF00"/>
        </patternFill>
      </fill>
    </dxf>
    <dxf>
      <fill>
        <patternFill>
          <bgColor rgb="FFFF0000"/>
        </patternFill>
      </fill>
    </dxf>
    <dxf>
      <fill>
        <patternFill>
          <bgColor rgb="FF00FF00"/>
        </patternFill>
      </fill>
    </dxf>
    <dxf>
      <fill>
        <patternFill>
          <bgColor rgb="FFFFFF00"/>
        </patternFill>
      </fill>
    </dxf>
    <dxf>
      <font>
        <color theme="0"/>
      </font>
      <fill>
        <patternFill>
          <bgColor rgb="FFC00000"/>
        </patternFill>
      </fill>
    </dxf>
    <dxf>
      <fill>
        <patternFill>
          <bgColor rgb="FFFF0000"/>
        </patternFill>
      </fill>
    </dxf>
    <dxf>
      <fill>
        <patternFill>
          <bgColor theme="9"/>
        </patternFill>
      </fill>
    </dxf>
    <dxf>
      <fill>
        <patternFill>
          <bgColor rgb="FF00FF00"/>
        </patternFill>
      </fill>
    </dxf>
    <dxf>
      <fill>
        <patternFill>
          <bgColor rgb="FFFFFF00"/>
        </patternFill>
      </fill>
    </dxf>
    <dxf>
      <font>
        <color theme="0"/>
      </font>
      <fill>
        <patternFill>
          <bgColor rgb="FFC00000"/>
        </patternFill>
      </fill>
    </dxf>
    <dxf>
      <fill>
        <patternFill>
          <bgColor rgb="FF00FF00"/>
        </patternFill>
      </fill>
    </dxf>
    <dxf>
      <font>
        <color theme="0"/>
      </font>
      <fill>
        <patternFill>
          <bgColor rgb="FFC00000"/>
        </patternFill>
      </fill>
    </dxf>
    <dxf>
      <fill>
        <patternFill>
          <bgColor theme="9"/>
        </patternFill>
      </fill>
    </dxf>
    <dxf>
      <font>
        <color theme="0"/>
      </font>
      <fill>
        <patternFill>
          <bgColor rgb="FFC00000"/>
        </patternFill>
      </fill>
    </dxf>
    <dxf>
      <fill>
        <patternFill>
          <bgColor rgb="FFFFFF00"/>
        </patternFill>
      </fill>
    </dxf>
    <dxf>
      <font>
        <color theme="0"/>
      </font>
      <fill>
        <patternFill>
          <bgColor rgb="FFC00000"/>
        </patternFill>
      </fill>
    </dxf>
    <dxf>
      <fill>
        <patternFill>
          <bgColor rgb="FFFF0000"/>
        </patternFill>
      </fill>
    </dxf>
    <dxf>
      <fill>
        <patternFill>
          <bgColor rgb="FFFFFF00"/>
        </patternFill>
      </fill>
    </dxf>
    <dxf>
      <fill>
        <patternFill>
          <bgColor rgb="FF00FF00"/>
        </patternFill>
      </fill>
    </dxf>
    <dxf>
      <font>
        <color theme="0"/>
      </font>
      <fill>
        <patternFill>
          <bgColor rgb="FFC00000"/>
        </patternFill>
      </fill>
    </dxf>
    <dxf>
      <fill>
        <patternFill>
          <bgColor rgb="FFFFFF00"/>
        </patternFill>
      </fill>
    </dxf>
    <dxf>
      <fill>
        <patternFill>
          <bgColor rgb="FFFF0000"/>
        </patternFill>
      </fill>
    </dxf>
    <dxf>
      <font>
        <color theme="0"/>
      </font>
      <fill>
        <patternFill>
          <bgColor rgb="FFC00000"/>
        </patternFill>
      </fill>
    </dxf>
    <dxf>
      <fill>
        <patternFill>
          <bgColor theme="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[Information Security Risk Register -nodata.xlsx]Risk Data!PivotTable12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E"/>
              <a:t>Total Risks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F0000"/>
          </a:solidFill>
          <a:ln>
            <a:noFill/>
          </a:ln>
          <a:effectLst/>
        </c:spPr>
      </c:pivotFmt>
      <c:pivotFmt>
        <c:idx val="2"/>
        <c:spPr>
          <a:solidFill>
            <a:schemeClr val="accent6"/>
          </a:solidFill>
          <a:ln>
            <a:noFill/>
          </a:ln>
          <a:effectLst/>
        </c:spPr>
      </c:pivotFmt>
      <c:pivotFmt>
        <c:idx val="3"/>
        <c:spPr>
          <a:solidFill>
            <a:srgbClr val="FFFF00"/>
          </a:solidFill>
          <a:ln>
            <a:noFill/>
          </a:ln>
          <a:effectLst/>
        </c:spPr>
      </c:pivotFmt>
      <c:pivotFmt>
        <c:idx val="4"/>
        <c:spPr>
          <a:solidFill>
            <a:srgbClr val="92D050"/>
          </a:solidFill>
          <a:ln>
            <a:noFill/>
          </a:ln>
          <a:effectLst/>
        </c:spPr>
      </c:pivotFmt>
    </c:pivotFmts>
    <c:plotArea>
      <c:layout/>
      <c:barChart>
        <c:barDir val="bar"/>
        <c:grouping val="clustered"/>
        <c:varyColors val="0"/>
        <c:ser>
          <c:idx val="0"/>
          <c:order val="0"/>
          <c:tx>
            <c:strRef>
              <c:f>'Risk Data'!$V$2</c:f>
              <c:strCache>
                <c:ptCount val="1"/>
                <c:pt idx="0">
                  <c:v>Total</c:v>
                </c:pt>
              </c:strCache>
            </c:strRef>
          </c:tx>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A-FC0F-4975-BF0D-AE761134BA82}"/>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B-FC0F-4975-BF0D-AE761134BA82}"/>
              </c:ext>
            </c:extLst>
          </c:dPt>
          <c:dPt>
            <c:idx val="2"/>
            <c:invertIfNegative val="0"/>
            <c:bubble3D val="0"/>
            <c:spPr>
              <a:solidFill>
                <a:srgbClr val="FFFF00"/>
              </a:solidFill>
              <a:ln>
                <a:noFill/>
              </a:ln>
              <a:effectLst/>
            </c:spPr>
            <c:extLst>
              <c:ext xmlns:c16="http://schemas.microsoft.com/office/drawing/2014/chart" uri="{C3380CC4-5D6E-409C-BE32-E72D297353CC}">
                <c16:uniqueId val="{0000000C-FC0F-4975-BF0D-AE761134BA82}"/>
              </c:ext>
            </c:extLst>
          </c:dPt>
          <c:dPt>
            <c:idx val="3"/>
            <c:invertIfNegative val="0"/>
            <c:bubble3D val="0"/>
            <c:spPr>
              <a:solidFill>
                <a:srgbClr val="92D050"/>
              </a:solidFill>
              <a:ln>
                <a:noFill/>
              </a:ln>
              <a:effectLst/>
            </c:spPr>
            <c:extLst>
              <c:ext xmlns:c16="http://schemas.microsoft.com/office/drawing/2014/chart" uri="{C3380CC4-5D6E-409C-BE32-E72D297353CC}">
                <c16:uniqueId val="{0000000D-FC0F-4975-BF0D-AE761134BA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'Risk Data'!$U$3:$U$7</c:f>
              <c:strCache>
                <c:ptCount val="4"/>
                <c:pt idx="0">
                  <c:v>High</c:v>
                </c:pt>
                <c:pt idx="1">
                  <c:v>Med-High</c:v>
                </c:pt>
                <c:pt idx="2">
                  <c:v>Medium</c:v>
                </c:pt>
                <c:pt idx="3">
                  <c:v>Low</c:v>
                </c:pt>
              </c:strCache>
            </c:strRef>
          </c:cat>
          <c:val>
            <c:numRef>
              <c:f>'Risk Data'!$V$3:$V$7</c:f>
              <c:numCache>
                <c:formatCode>General</c:formatCode>
                <c:ptCount val="4"/>
                <c:pt idx="0">
                  <c:v>9</c:v>
                </c:pt>
                <c:pt idx="1">
                  <c:v>11</c:v>
                </c:pt>
                <c:pt idx="2">
                  <c:v>14</c:v>
                </c:pt>
                <c:pt idx="3">
                  <c:v>15</c:v>
                </c:pt>
              </c:numCache>
            </c:numRef>
          </c:val>
          <c:extLst>
            <c:ext xmlns:c16="http://schemas.microsoft.com/office/drawing/2014/chart" uri="{C3380CC4-5D6E-409C-BE32-E72D297353CC}">
              <c16:uniqueId val="{00000008-FC0F-4975-BF0D-AE761134BA82}"/>
            </c:ext>
          </c:extLst>
        </c:ser>
        <c:dLbls>
          <c:dLblPos val="outEnd"/>
          <c:showLegendKey val="0"/>
          <c:showVal val="1"/>
          <c:showCatName val="0"/>
          <c:showSerName val="0"/>
          <c:showPercent val="0"/>
          <c:showBubbleSize val="0"/>
        </c:dLbls>
        <c:gapWidth val="219"/>
        <c:axId val="1983796095"/>
        <c:axId val="1989847647"/>
      </c:barChart>
      <c:catAx>
        <c:axId val="1983796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9847647"/>
        <c:crosses val="autoZero"/>
        <c:auto val="1"/>
        <c:lblAlgn val="ctr"/>
        <c:lblOffset val="100"/>
        <c:noMultiLvlLbl val="0"/>
      </c:catAx>
      <c:valAx>
        <c:axId val="198984764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3796095"/>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bg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[Information Security Risk Register -nodata.xlsx]Risk Data!Risks by Month</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Trend of Risks by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rgbClr val="FF000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ln w="28575" cap="rnd">
            <a:solidFill>
              <a:srgbClr val="FFFF0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ln w="28575" cap="rnd">
            <a:solidFill>
              <a:srgbClr val="92D05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rgbClr val="FFC00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'Risk Data'!$G$2:$G$3</c:f>
              <c:strCache>
                <c:ptCount val="1"/>
                <c:pt idx="0">
                  <c:v>Low</c:v>
                </c:pt>
              </c:strCache>
            </c:strRef>
          </c:tx>
          <c:spPr>
            <a:ln w="28575" cap="rnd">
              <a:solidFill>
                <a:srgbClr val="92D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'Risk Data'!$F$4:$F$22</c:f>
              <c:strCache>
                <c:ptCount val="18"/>
                <c:pt idx="0">
                  <c:v>Aug-22</c:v>
                </c:pt>
                <c:pt idx="1">
                  <c:v>Sep-22</c:v>
                </c:pt>
                <c:pt idx="2">
                  <c:v>Oct-22</c:v>
                </c:pt>
                <c:pt idx="3">
                  <c:v>Nov-22</c:v>
                </c:pt>
                <c:pt idx="4">
                  <c:v>Dec-22</c:v>
                </c:pt>
                <c:pt idx="5">
                  <c:v>Jan-23</c:v>
                </c:pt>
                <c:pt idx="6">
                  <c:v>Feb-23</c:v>
                </c:pt>
                <c:pt idx="7">
                  <c:v>Apr-23</c:v>
                </c:pt>
                <c:pt idx="8">
                  <c:v>May-23</c:v>
                </c:pt>
                <c:pt idx="9">
                  <c:v>Jun-23</c:v>
                </c:pt>
                <c:pt idx="10">
                  <c:v>Jul-23</c:v>
                </c:pt>
                <c:pt idx="11">
                  <c:v>Aug-23</c:v>
                </c:pt>
                <c:pt idx="12">
                  <c:v>Sep-23</c:v>
                </c:pt>
                <c:pt idx="13">
                  <c:v>Oct-23</c:v>
                </c:pt>
                <c:pt idx="14">
                  <c:v>Nov-23</c:v>
                </c:pt>
                <c:pt idx="15">
                  <c:v>Dec-23</c:v>
                </c:pt>
                <c:pt idx="16">
                  <c:v>Feb-24</c:v>
                </c:pt>
                <c:pt idx="17">
                  <c:v>Mar-24</c:v>
                </c:pt>
              </c:strCache>
            </c:strRef>
          </c:cat>
          <c:val>
            <c:numRef>
              <c:f>'Risk Data'!$G$4:$G$22</c:f>
              <c:numCache>
                <c:formatCode>General</c:formatCode>
                <c:ptCount val="18"/>
                <c:pt idx="0">
                  <c:v>16</c:v>
                </c:pt>
                <c:pt idx="1">
                  <c:v>17</c:v>
                </c:pt>
                <c:pt idx="2">
                  <c:v>18</c:v>
                </c:pt>
                <c:pt idx="3">
                  <c:v>17</c:v>
                </c:pt>
                <c:pt idx="4">
                  <c:v>18</c:v>
                </c:pt>
                <c:pt idx="5">
                  <c:v>18</c:v>
                </c:pt>
                <c:pt idx="6">
                  <c:v>20</c:v>
                </c:pt>
                <c:pt idx="7">
                  <c:v>19</c:v>
                </c:pt>
                <c:pt idx="8">
                  <c:v>18</c:v>
                </c:pt>
                <c:pt idx="9">
                  <c:v>18</c:v>
                </c:pt>
                <c:pt idx="10">
                  <c:v>18</c:v>
                </c:pt>
                <c:pt idx="11">
                  <c:v>17</c:v>
                </c:pt>
                <c:pt idx="12">
                  <c:v>17</c:v>
                </c:pt>
                <c:pt idx="13">
                  <c:v>16</c:v>
                </c:pt>
                <c:pt idx="14">
                  <c:v>12</c:v>
                </c:pt>
                <c:pt idx="15">
                  <c:v>15</c:v>
                </c:pt>
                <c:pt idx="16">
                  <c:v>15</c:v>
                </c:pt>
                <c:pt idx="17">
                  <c:v>15</c:v>
                </c:pt>
              </c:numCache>
            </c:numRef>
          </c:val>
          <c:smooth val="0"/>
          <c:extLst>
            <c:ext xmlns:c16="http://schemas.microsoft.com/office/drawing/2014/chart" uri="{C3380CC4-5D6E-409C-BE32-E72D297353CC}">
              <c16:uniqueId val="{00000000-371A-4080-9E84-E3518364B68D}"/>
            </c:ext>
          </c:extLst>
        </c:ser>
        <c:ser>
          <c:idx val="1"/>
          <c:order val="1"/>
          <c:tx>
            <c:strRef>
              <c:f>'Risk Data'!$H$2:$H$3</c:f>
              <c:strCache>
                <c:ptCount val="1"/>
                <c:pt idx="0">
                  <c:v>Medium</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'Risk Data'!$F$4:$F$22</c:f>
              <c:strCache>
                <c:ptCount val="18"/>
                <c:pt idx="0">
                  <c:v>Aug-22</c:v>
                </c:pt>
                <c:pt idx="1">
                  <c:v>Sep-22</c:v>
                </c:pt>
                <c:pt idx="2">
                  <c:v>Oct-22</c:v>
                </c:pt>
                <c:pt idx="3">
                  <c:v>Nov-22</c:v>
                </c:pt>
                <c:pt idx="4">
                  <c:v>Dec-22</c:v>
                </c:pt>
                <c:pt idx="5">
                  <c:v>Jan-23</c:v>
                </c:pt>
                <c:pt idx="6">
                  <c:v>Feb-23</c:v>
                </c:pt>
                <c:pt idx="7">
                  <c:v>Apr-23</c:v>
                </c:pt>
                <c:pt idx="8">
                  <c:v>May-23</c:v>
                </c:pt>
                <c:pt idx="9">
                  <c:v>Jun-23</c:v>
                </c:pt>
                <c:pt idx="10">
                  <c:v>Jul-23</c:v>
                </c:pt>
                <c:pt idx="11">
                  <c:v>Aug-23</c:v>
                </c:pt>
                <c:pt idx="12">
                  <c:v>Sep-23</c:v>
                </c:pt>
                <c:pt idx="13">
                  <c:v>Oct-23</c:v>
                </c:pt>
                <c:pt idx="14">
                  <c:v>Nov-23</c:v>
                </c:pt>
                <c:pt idx="15">
                  <c:v>Dec-23</c:v>
                </c:pt>
                <c:pt idx="16">
                  <c:v>Feb-24</c:v>
                </c:pt>
                <c:pt idx="17">
                  <c:v>Mar-24</c:v>
                </c:pt>
              </c:strCache>
            </c:strRef>
          </c:cat>
          <c:val>
            <c:numRef>
              <c:f>'Risk Data'!$H$4:$H$22</c:f>
              <c:numCache>
                <c:formatCode>General</c:formatCode>
                <c:ptCount val="18"/>
                <c:pt idx="0">
                  <c:v>21</c:v>
                </c:pt>
                <c:pt idx="1">
                  <c:v>20</c:v>
                </c:pt>
                <c:pt idx="2">
                  <c:v>19</c:v>
                </c:pt>
                <c:pt idx="3">
                  <c:v>19</c:v>
                </c:pt>
                <c:pt idx="4">
                  <c:v>16</c:v>
                </c:pt>
                <c:pt idx="5">
                  <c:v>17</c:v>
                </c:pt>
                <c:pt idx="6">
                  <c:v>15</c:v>
                </c:pt>
                <c:pt idx="7">
                  <c:v>15</c:v>
                </c:pt>
                <c:pt idx="8">
                  <c:v>12</c:v>
                </c:pt>
                <c:pt idx="9">
                  <c:v>12</c:v>
                </c:pt>
                <c:pt idx="10">
                  <c:v>12</c:v>
                </c:pt>
                <c:pt idx="11">
                  <c:v>14</c:v>
                </c:pt>
                <c:pt idx="12">
                  <c:v>14</c:v>
                </c:pt>
                <c:pt idx="13">
                  <c:v>15</c:v>
                </c:pt>
                <c:pt idx="14">
                  <c:v>16</c:v>
                </c:pt>
                <c:pt idx="15">
                  <c:v>14</c:v>
                </c:pt>
                <c:pt idx="16">
                  <c:v>14</c:v>
                </c:pt>
                <c:pt idx="17">
                  <c:v>15</c:v>
                </c:pt>
              </c:numCache>
            </c:numRef>
          </c:val>
          <c:smooth val="0"/>
          <c:extLst>
            <c:ext xmlns:c16="http://schemas.microsoft.com/office/drawing/2014/chart" uri="{C3380CC4-5D6E-409C-BE32-E72D297353CC}">
              <c16:uniqueId val="{00000001-371A-4080-9E84-E3518364B68D}"/>
            </c:ext>
          </c:extLst>
        </c:ser>
        <c:ser>
          <c:idx val="2"/>
          <c:order val="2"/>
          <c:tx>
            <c:strRef>
              <c:f>'Risk Data'!$I$2:$I$3</c:f>
              <c:strCache>
                <c:ptCount val="1"/>
                <c:pt idx="0">
                  <c:v>Med-High</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'Risk Data'!$F$4:$F$22</c:f>
              <c:strCache>
                <c:ptCount val="18"/>
                <c:pt idx="0">
                  <c:v>Aug-22</c:v>
                </c:pt>
                <c:pt idx="1">
                  <c:v>Sep-22</c:v>
                </c:pt>
                <c:pt idx="2">
                  <c:v>Oct-22</c:v>
                </c:pt>
                <c:pt idx="3">
                  <c:v>Nov-22</c:v>
                </c:pt>
                <c:pt idx="4">
                  <c:v>Dec-22</c:v>
                </c:pt>
                <c:pt idx="5">
                  <c:v>Jan-23</c:v>
                </c:pt>
                <c:pt idx="6">
                  <c:v>Feb-23</c:v>
                </c:pt>
                <c:pt idx="7">
                  <c:v>Apr-23</c:v>
                </c:pt>
                <c:pt idx="8">
                  <c:v>May-23</c:v>
                </c:pt>
                <c:pt idx="9">
                  <c:v>Jun-23</c:v>
                </c:pt>
                <c:pt idx="10">
                  <c:v>Jul-23</c:v>
                </c:pt>
                <c:pt idx="11">
                  <c:v>Aug-23</c:v>
                </c:pt>
                <c:pt idx="12">
                  <c:v>Sep-23</c:v>
                </c:pt>
                <c:pt idx="13">
                  <c:v>Oct-23</c:v>
                </c:pt>
                <c:pt idx="14">
                  <c:v>Nov-23</c:v>
                </c:pt>
                <c:pt idx="15">
                  <c:v>Dec-23</c:v>
                </c:pt>
                <c:pt idx="16">
                  <c:v>Feb-24</c:v>
                </c:pt>
                <c:pt idx="17">
                  <c:v>Mar-24</c:v>
                </c:pt>
              </c:strCache>
            </c:strRef>
          </c:cat>
          <c:val>
            <c:numRef>
              <c:f>'Risk Data'!$I$4:$I$22</c:f>
              <c:numCache>
                <c:formatCode>General</c:formatCode>
                <c:ptCount val="18"/>
                <c:pt idx="0">
                  <c:v>1</c:v>
                </c:pt>
                <c:pt idx="1">
                  <c:v>3</c:v>
                </c:pt>
                <c:pt idx="2">
                  <c:v>3</c:v>
                </c:pt>
                <c:pt idx="3">
                  <c:v>7</c:v>
                </c:pt>
                <c:pt idx="4">
                  <c:v>8</c:v>
                </c:pt>
                <c:pt idx="5">
                  <c:v>8</c:v>
                </c:pt>
                <c:pt idx="6">
                  <c:v>6</c:v>
                </c:pt>
                <c:pt idx="7">
                  <c:v>4</c:v>
                </c:pt>
                <c:pt idx="8">
                  <c:v>4</c:v>
                </c:pt>
                <c:pt idx="9">
                  <c:v>4</c:v>
                </c:pt>
                <c:pt idx="10">
                  <c:v>4</c:v>
                </c:pt>
                <c:pt idx="11">
                  <c:v>5</c:v>
                </c:pt>
                <c:pt idx="12">
                  <c:v>5</c:v>
                </c:pt>
                <c:pt idx="13">
                  <c:v>7</c:v>
                </c:pt>
                <c:pt idx="14">
                  <c:v>9</c:v>
                </c:pt>
                <c:pt idx="15">
                  <c:v>5</c:v>
                </c:pt>
                <c:pt idx="16">
                  <c:v>5</c:v>
                </c:pt>
                <c:pt idx="17">
                  <c:v>6</c:v>
                </c:pt>
              </c:numCache>
            </c:numRef>
          </c:val>
          <c:smooth val="0"/>
          <c:extLst>
            <c:ext xmlns:c16="http://schemas.microsoft.com/office/drawing/2014/chart" uri="{C3380CC4-5D6E-409C-BE32-E72D297353CC}">
              <c16:uniqueId val="{00000002-371A-4080-9E84-E3518364B68D}"/>
            </c:ext>
          </c:extLst>
        </c:ser>
        <c:ser>
          <c:idx val="3"/>
          <c:order val="3"/>
          <c:tx>
            <c:strRef>
              <c:f>'Risk Data'!$J$2:$J$3</c:f>
              <c:strCache>
                <c:ptCount val="1"/>
                <c:pt idx="0">
                  <c:v>High</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'Risk Data'!$F$4:$F$22</c:f>
              <c:strCache>
                <c:ptCount val="18"/>
                <c:pt idx="0">
                  <c:v>Aug-22</c:v>
                </c:pt>
                <c:pt idx="1">
                  <c:v>Sep-22</c:v>
                </c:pt>
                <c:pt idx="2">
                  <c:v>Oct-22</c:v>
                </c:pt>
                <c:pt idx="3">
                  <c:v>Nov-22</c:v>
                </c:pt>
                <c:pt idx="4">
                  <c:v>Dec-22</c:v>
                </c:pt>
                <c:pt idx="5">
                  <c:v>Jan-23</c:v>
                </c:pt>
                <c:pt idx="6">
                  <c:v>Feb-23</c:v>
                </c:pt>
                <c:pt idx="7">
                  <c:v>Apr-23</c:v>
                </c:pt>
                <c:pt idx="8">
                  <c:v>May-23</c:v>
                </c:pt>
                <c:pt idx="9">
                  <c:v>Jun-23</c:v>
                </c:pt>
                <c:pt idx="10">
                  <c:v>Jul-23</c:v>
                </c:pt>
                <c:pt idx="11">
                  <c:v>Aug-23</c:v>
                </c:pt>
                <c:pt idx="12">
                  <c:v>Sep-23</c:v>
                </c:pt>
                <c:pt idx="13">
                  <c:v>Oct-23</c:v>
                </c:pt>
                <c:pt idx="14">
                  <c:v>Nov-23</c:v>
                </c:pt>
                <c:pt idx="15">
                  <c:v>Dec-23</c:v>
                </c:pt>
                <c:pt idx="16">
                  <c:v>Feb-24</c:v>
                </c:pt>
                <c:pt idx="17">
                  <c:v>Mar-24</c:v>
                </c:pt>
              </c:strCache>
            </c:strRef>
          </c:cat>
          <c:val>
            <c:numRef>
              <c:f>'Risk Data'!$J$4:$J$22</c:f>
              <c:numCache>
                <c:formatCode>General</c:formatCode>
                <c:ptCount val="18"/>
                <c:pt idx="0">
                  <c:v>7</c:v>
                </c:pt>
                <c:pt idx="1">
                  <c:v>7</c:v>
                </c:pt>
                <c:pt idx="2">
                  <c:v>7</c:v>
                </c:pt>
                <c:pt idx="3">
                  <c:v>8</c:v>
                </c:pt>
                <c:pt idx="4">
                  <c:v>7</c:v>
                </c:pt>
                <c:pt idx="5">
                  <c:v>6</c:v>
                </c:pt>
                <c:pt idx="6">
                  <c:v>6</c:v>
                </c:pt>
                <c:pt idx="7">
                  <c:v>7</c:v>
                </c:pt>
                <c:pt idx="8">
                  <c:v>7</c:v>
                </c:pt>
                <c:pt idx="9">
                  <c:v>7</c:v>
                </c:pt>
                <c:pt idx="10">
                  <c:v>7</c:v>
                </c:pt>
                <c:pt idx="11">
                  <c:v>7</c:v>
                </c:pt>
                <c:pt idx="12">
                  <c:v>7</c:v>
                </c:pt>
                <c:pt idx="13">
                  <c:v>7</c:v>
                </c:pt>
                <c:pt idx="14">
                  <c:v>7</c:v>
                </c:pt>
                <c:pt idx="15">
                  <c:v>7</c:v>
                </c:pt>
                <c:pt idx="16">
                  <c:v>7</c:v>
                </c:pt>
                <c:pt idx="17">
                  <c:v>8</c:v>
                </c:pt>
              </c:numCache>
            </c:numRef>
          </c:val>
          <c:smooth val="0"/>
          <c:extLst>
            <c:ext xmlns:c16="http://schemas.microsoft.com/office/drawing/2014/chart" uri="{C3380CC4-5D6E-409C-BE32-E72D297353CC}">
              <c16:uniqueId val="{00000003-371A-4080-9E84-E3518364B68D}"/>
            </c:ext>
          </c:extLst>
        </c:ser>
        <c:dLbls>
          <c:dLblPos val="t"/>
          <c:showLegendKey val="0"/>
          <c:showVal val="1"/>
          <c:showCatName val="0"/>
          <c:showSerName val="0"/>
          <c:showPercent val="0"/>
          <c:showBubbleSize val="0"/>
        </c:dLbls>
        <c:smooth val="0"/>
        <c:axId val="2103296495"/>
        <c:axId val="2103282351"/>
      </c:lineChart>
      <c:catAx>
        <c:axId val="210329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Months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82351"/>
        <c:crosses val="autoZero"/>
        <c:auto val="1"/>
        <c:lblAlgn val="ctr"/>
        <c:lblOffset val="100"/>
        <c:noMultiLvlLbl val="0"/>
      </c:catAx>
      <c:valAx>
        <c:axId val="210328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Risks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96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577125</xdr:colOff>
      <xdr:row>1</xdr:row>
      <xdr:rowOff>123371</xdr:rowOff>
    </xdr:from>
    <xdr:to>
      <xdr:col>5</xdr:col>
      <xdr:colOff>255815</xdr:colOff>
      <xdr:row>20</xdr:row>
      <xdr:rowOff>50800</xdr:rowOff>
    </xdr:to>
    <xdr:graphicFrame macro="">
      <xdr:nvGraphicFramePr>
        <xdr:cNvPr id="2" name="Chart 1">
          <a:extLst>
            <a:ext uri="{FF2B5EF4-FFF2-40B4-BE49-F238E27FC236}">
              <a16:creationId xmlns:a16="http://schemas.microsoft.com/office/drawing/2014/main" id="{4AB68140-2705-4832-9236-8D3227D82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429260</xdr:colOff>
      <xdr:row>1</xdr:row>
      <xdr:rowOff>116840</xdr:rowOff>
    </xdr:from>
    <xdr:to>
      <xdr:col>16</xdr:col>
      <xdr:colOff>107950</xdr:colOff>
      <xdr:row>20</xdr:row>
      <xdr:rowOff>25400</xdr:rowOff>
    </xdr:to>
    <xdr:graphicFrame macro="">
      <xdr:nvGraphicFramePr>
        <xdr:cNvPr id="3" name="Chart 1">
          <a:extLst>
            <a:ext uri="{FF2B5EF4-FFF2-40B4-BE49-F238E27FC236}">
              <a16:creationId xmlns:a16="http://schemas.microsoft.com/office/drawing/2014/main" id="{960D729D-3DD8-4C06-8166-F06005E0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390525</xdr:colOff>
      <xdr:row>19</xdr:row>
      <xdr:rowOff>0</xdr:rowOff>
    </xdr:from>
    <xdr:to>
      <xdr:col>6</xdr:col>
      <xdr:colOff>400050</xdr:colOff>
      <xdr:row>19</xdr:row>
      <xdr:rowOff>0</xdr:rowOff>
    </xdr:to>
    <xdr:sp macro="" textlink="">
      <xdr:nvSpPr>
        <xdr:cNvPr id="2" name="Line 7">
          <a:extLst>
            <a:ext uri="{FF2B5EF4-FFF2-40B4-BE49-F238E27FC236}">
              <a16:creationId xmlns:a16="http://schemas.microsoft.com/office/drawing/2014/main" id="{60C0995F-E7C2-4E3B-B6BB-5FA7506438ED}"/>
            </a:ext>
          </a:extLst>
        </xdr:cNvPr>
        <xdr:cNvSpPr>
          <a:spLocks noChangeShapeType="1"/>
        </xdr:cNvSpPr>
      </xdr:nvSpPr>
      <xdr:spPr bwMode="auto">
        <a:xfrm>
          <a:off x="4048125" y="3185160"/>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avid O'Brien" id="{530F37B7-BD92-4FD6-8B76-19B658F91D8B}">
    <nsvFilter filterId="{0236F217-7B7E-4F94-BE19-F1164B5044F3}" ref="A2:W51" tableId="1">
      <columnFilter colId="6" id="{FAB5E943-FB53-4EBF-A194-59020605D795}">
        <filter colId="6">
          <x:filters>
            <x:filter val="David O'Brien"/>
          </x:filters>
        </filter>
      </columnFilter>
      <sortRules>
        <sortRule colId="17" id="{9BB4A940-E741-4C4E-86E3-236E35220FCF}">
          <sortCondition descending="1" ref="R2:R51"/>
        </sortRule>
      </sortRules>
    </nsvFilter>
  </namedSheetView>
  <namedSheetView name="Hugh McDonnell" id="{83A50F66-5918-4F10-A3F0-1D0F65515E79}">
    <nsvFilter filterId="{0236F217-7B7E-4F94-BE19-F1164B5044F3}" ref="A2:W51" tableId="1">
      <columnFilter colId="6" id="{FAB5E943-FB53-4EBF-A194-59020605D795}">
        <filter colId="6">
          <x:filters>
            <x:filter val="Hugh McDonnell"/>
          </x:filters>
        </filter>
      </columnFilter>
      <sortRules>
        <sortRule colId="17" id="{9BB4A940-E741-4C4E-86E3-236E35220FCF}">
          <sortCondition descending="1" ref="R2:R51"/>
        </sortRule>
      </sortRules>
    </nsvFilter>
  </namedSheetView>
  <namedSheetView name="Karl Hamer" id="{2F49B5C5-B944-4633-8BD0-1FC175AA811D}">
    <nsvFilter filterId="{0236F217-7B7E-4F94-BE19-F1164B5044F3}" ref="A2:W51" tableId="1">
      <columnFilter colId="6" id="{FAB5E943-FB53-4EBF-A194-59020605D795}">
        <filter colId="6">
          <x:filters>
            <x:filter val="Karl Hamer"/>
          </x:filters>
        </filter>
      </columnFilter>
      <sortRules>
        <sortRule colId="17" id="{9BB4A940-E741-4C4E-86E3-236E35220FCF}">
          <sortCondition descending="1" ref="R2:R51"/>
        </sortRule>
      </sortRules>
    </nsvFilter>
  </namedSheetView>
  <namedSheetView name="Kieth Hynes" id="{5A12CAD9-D5FC-4C03-A8E1-E4161FFEF756}">
    <nsvFilter filterId="{0236F217-7B7E-4F94-BE19-F1164B5044F3}" ref="A2:W51" tableId="1">
      <columnFilter colId="6" id="{FAB5E943-FB53-4EBF-A194-59020605D795}">
        <filter colId="6">
          <x:filters>
            <x:filter val="Keith Hynes"/>
          </x:filters>
        </filter>
      </columnFilter>
      <sortRules>
        <sortRule colId="17" id="{9BB4A940-E741-4C4E-86E3-236E35220FCF}">
          <sortCondition descending="1" ref="R2:R51"/>
        </sortRule>
      </sortRules>
    </nsvFilter>
  </namedSheetView>
  <namedSheetView name="Liam Regan" id="{EECC2A25-047D-4E5B-9B20-7105C1E25EDC}">
    <nsvFilter filterId="{0236F217-7B7E-4F94-BE19-F1164B5044F3}" ref="A2:W51" tableId="1">
      <columnFilter colId="6" id="{FAB5E943-FB53-4EBF-A194-59020605D795}">
        <filter colId="6">
          <x:filters>
            <x:filter val="Liam Regan"/>
          </x:filters>
        </filter>
      </columnFilter>
      <sortRules>
        <sortRule colId="17" id="{9BB4A940-E741-4C4E-86E3-236E35220FCF}">
          <sortCondition descending="1" ref="R2:R51"/>
        </sortRule>
      </sortRules>
    </nsvFilter>
  </namedSheetView>
  <namedSheetView name="Louise Martin" id="{15F345D2-BB9E-488B-8CF9-CA81656C6329}">
    <nsvFilter filterId="{0236F217-7B7E-4F94-BE19-F1164B5044F3}" ref="A2:W51" tableId="1">
      <columnFilter colId="6" id="{FAB5E943-FB53-4EBF-A194-59020605D795}">
        <filter colId="6">
          <x:filters>
            <x:filter val="Louise Martin"/>
          </x:filters>
        </filter>
      </columnFilter>
      <sortRules>
        <sortRule colId="17" id="{9BB4A940-E741-4C4E-86E3-236E35220FCF}">
          <sortCondition descending="1" ref="R2:R51"/>
        </sortRule>
      </sortRules>
    </nsvFilter>
  </namedSheetView>
  <namedSheetView name="Seamus Egan" id="{853BE2EA-778D-4C4B-AA6B-39B3036C1F39}">
    <nsvFilter filterId="{0236F217-7B7E-4F94-BE19-F1164B5044F3}" ref="A2:W51" tableId="1">
      <columnFilter colId="6" id="{FAB5E943-FB53-4EBF-A194-59020605D795}">
        <filter colId="6">
          <x:filters>
            <x:filter val="Seamus Egan"/>
          </x:filters>
        </filter>
      </columnFilter>
      <sortRules>
        <sortRule colId="17" id="{9BB4A940-E741-4C4E-86E3-236E35220FCF}">
          <sortCondition descending="1" ref="R2:R51"/>
        </sortRule>
      </sortRules>
    </nsvFilter>
  </namedSheetView>
  <namedSheetView name="Tim Abbott" id="{A9F1D06D-69D9-40AB-9DB6-1C9A5E4A43C5}">
    <nsvFilter filterId="{0236F217-7B7E-4F94-BE19-F1164B5044F3}" ref="A2:W51" tableId="1">
      <columnFilter colId="6" id="{FAB5E943-FB53-4EBF-A194-59020605D795}">
        <filter colId="6">
          <x:filters>
            <x:filter val="Tim Abbott"/>
          </x:filters>
        </filter>
      </columnFilter>
      <sortRules>
        <sortRule colId="17" id="{9BB4A940-E741-4C4E-86E3-236E35220FCF}">
          <sortCondition descending="1" ref="R2:R51"/>
        </sortRule>
      </sortRules>
    </nsvFilter>
  </namedSheetView>
  <namedSheetView name="Wayne McGarry" id="{61BFC795-4C5A-4659-AF55-1DEF9D1C0587}">
    <nsvFilter filterId="{0236F217-7B7E-4F94-BE19-F1164B5044F3}" ref="A2:W51" tableId="1">
      <columnFilter colId="6" id="{FAB5E943-FB53-4EBF-A194-59020605D795}">
        <filter colId="6">
          <x:filters>
            <x:filter val="Wayne McGarry"/>
          </x:filters>
        </filter>
      </columnFilter>
      <sortRules>
        <sortRule colId="17" id="{9BB4A940-E741-4C4E-86E3-236E35220FCF}">
          <sortCondition descending="1" ref="R2:R51"/>
        </sortRule>
      </sortRules>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5385.693738078706" createdVersion="8" refreshedVersion="8" minRefreshableVersion="3" recordCount="72">
  <cacheSource type="worksheet">
    <worksheetSource ref="A1:C73" sheet="Risk Data"/>
  </cacheSource>
  <cacheFields count="3">
    <cacheField name="Date" numFmtId="0">
      <sharedItems containsSemiMixedTypes="0" containsNonDate="0" containsDate="1" containsString="0" minDate="2022-08-01T00:00:00" maxDate="2024-03-02T00:00:00" count="18">
        <d v="2022-08-01T00:00:00"/>
        <d v="2022-09-01T00:00:00"/>
        <d v="2022-10-01T00:00:00"/>
        <d v="2022-11-01T00:00:00"/>
        <d v="2022-12-08T00:00:00"/>
        <d v="2023-01-02T00:00:00"/>
        <d v="2023-02-01T00:00:00"/>
        <d v="2023-04-12T00:00:00"/>
        <d v="2023-05-01T00:00:00"/>
        <d v="2023-06-01T00:00:00"/>
        <d v="2023-07-01T00:00:00"/>
        <d v="2023-08-01T00:00:00"/>
        <d v="2023-09-01T00:00:00"/>
        <d v="2023-10-01T00:00:00"/>
        <d v="2023-11-01T00:00:00"/>
        <d v="2023-12-01T00:00:00"/>
        <d v="2024-02-01T00:00:00"/>
        <d v="2024-03-01T00:00:00"/>
      </sharedItems>
    </cacheField>
    <cacheField name="Rating" numFmtId="0">
      <sharedItems count="4">
        <s v="High"/>
        <s v="Med-High"/>
        <s v="Medium"/>
        <s v="Low"/>
      </sharedItems>
    </cacheField>
    <cacheField name="Number" numFmtId="0">
      <sharedItems containsSemiMixedTypes="0" containsString="0" containsNumber="1" containsInteger="1" minValue="1" maxValue="2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5385.69373900463" createdVersion="6" refreshedVersion="8" minRefreshableVersion="3" recordCount="49">
  <cacheSource type="worksheet">
    <worksheetSource name="RiskTable"/>
  </cacheSource>
  <cacheFields count="23">
    <cacheField name="#" numFmtId="0">
      <sharedItems/>
    </cacheField>
    <cacheField name="Risk Name" numFmtId="0">
      <sharedItems/>
    </cacheField>
    <cacheField name="Risk Sub Category" numFmtId="0">
      <sharedItems/>
    </cacheField>
    <cacheField name="Risk Description" numFmtId="0">
      <sharedItems/>
    </cacheField>
    <cacheField name="Effect" numFmtId="0">
      <sharedItems/>
    </cacheField>
    <cacheField name="Applicable Divisions" numFmtId="0">
      <sharedItems count="4">
        <s v="Uniphar Group"/>
        <s v="Pharmacies"/>
        <s v="Product Access"/>
        <s v="All"/>
      </sharedItems>
    </cacheField>
    <cacheField name="Risk Owner" numFmtId="0">
      <sharedItems/>
    </cacheField>
    <cacheField name="Mitigation Control / Actions" numFmtId="0">
      <sharedItems/>
    </cacheField>
    <cacheField name="Control Owner" numFmtId="0">
      <sharedItems containsBlank="1"/>
    </cacheField>
    <cacheField name="Basis for Inherent Risk Assessment" numFmtId="0">
      <sharedItems/>
    </cacheField>
    <cacheField name="Status of Control Actions" numFmtId="0">
      <sharedItems/>
    </cacheField>
    <cacheField name="(A)_x000a_Inherent_x000a_Impact_x000a_(Pre_x000a_Controls)" numFmtId="0">
      <sharedItems containsSemiMixedTypes="0" containsString="0" containsNumber="1" containsInteger="1" minValue="2" maxValue="5"/>
    </cacheField>
    <cacheField name="(C)_x000a_Likelihood" numFmtId="0">
      <sharedItems containsSemiMixedTypes="0" containsString="0" containsNumber="1" containsInteger="1" minValue="1" maxValue="5"/>
    </cacheField>
    <cacheField name="(A x C)_x000a_Inherent_x000a_Score" numFmtId="0">
      <sharedItems containsSemiMixedTypes="0" containsString="0" containsNumber="1" containsInteger="1" minValue="2" maxValue="25"/>
    </cacheField>
    <cacheField name="Inherent Risk Rating" numFmtId="0">
      <sharedItems/>
    </cacheField>
    <cacheField name="(B)_x000a_Residual_x000a_Impact_x000a_(Post_x000a_Controls)" numFmtId="0">
      <sharedItems containsSemiMixedTypes="0" containsString="0" containsNumber="1" containsInteger="1" minValue="1" maxValue="5"/>
    </cacheField>
    <cacheField name="(C)_x000a_Likelihood2" numFmtId="0">
      <sharedItems containsSemiMixedTypes="0" containsString="0" containsNumber="1" containsInteger="1" minValue="1" maxValue="5"/>
    </cacheField>
    <cacheField name="(B x C)_x000a_Residual_x000a_Score" numFmtId="0">
      <sharedItems containsSemiMixedTypes="0" containsString="0" containsNumber="1" containsInteger="1" minValue="2" maxValue="25"/>
    </cacheField>
    <cacheField name="Residual Risk Rating" numFmtId="0">
      <sharedItems containsBlank="1" count="6">
        <s v="High"/>
        <s v="Med-High"/>
        <s v="Medium"/>
        <s v="Low"/>
        <e v="#N/A" u="1"/>
        <m u="1"/>
      </sharedItems>
    </cacheField>
    <cacheField name="Treatment" numFmtId="0">
      <sharedItems containsBlank="1"/>
    </cacheField>
    <cacheField name="Treatment Plan" numFmtId="0">
      <sharedItems containsBlank="1"/>
    </cacheField>
    <cacheField name="Verification" numFmtId="0">
      <sharedItems containsBlank="1"/>
    </cacheField>
    <cacheField name="Interval or Milestone Check"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n v="7"/>
  </r>
  <r>
    <x v="0"/>
    <x v="1"/>
    <n v="1"/>
  </r>
  <r>
    <x v="0"/>
    <x v="2"/>
    <n v="21"/>
  </r>
  <r>
    <x v="0"/>
    <x v="3"/>
    <n v="16"/>
  </r>
  <r>
    <x v="1"/>
    <x v="0"/>
    <n v="7"/>
  </r>
  <r>
    <x v="1"/>
    <x v="1"/>
    <n v="3"/>
  </r>
  <r>
    <x v="1"/>
    <x v="2"/>
    <n v="20"/>
  </r>
  <r>
    <x v="1"/>
    <x v="3"/>
    <n v="17"/>
  </r>
  <r>
    <x v="2"/>
    <x v="0"/>
    <n v="7"/>
  </r>
  <r>
    <x v="2"/>
    <x v="1"/>
    <n v="3"/>
  </r>
  <r>
    <x v="2"/>
    <x v="2"/>
    <n v="19"/>
  </r>
  <r>
    <x v="2"/>
    <x v="3"/>
    <n v="18"/>
  </r>
  <r>
    <x v="3"/>
    <x v="0"/>
    <n v="8"/>
  </r>
  <r>
    <x v="3"/>
    <x v="1"/>
    <n v="7"/>
  </r>
  <r>
    <x v="3"/>
    <x v="2"/>
    <n v="19"/>
  </r>
  <r>
    <x v="3"/>
    <x v="3"/>
    <n v="17"/>
  </r>
  <r>
    <x v="4"/>
    <x v="0"/>
    <n v="7"/>
  </r>
  <r>
    <x v="4"/>
    <x v="1"/>
    <n v="8"/>
  </r>
  <r>
    <x v="4"/>
    <x v="2"/>
    <n v="16"/>
  </r>
  <r>
    <x v="4"/>
    <x v="3"/>
    <n v="18"/>
  </r>
  <r>
    <x v="5"/>
    <x v="0"/>
    <n v="6"/>
  </r>
  <r>
    <x v="5"/>
    <x v="1"/>
    <n v="8"/>
  </r>
  <r>
    <x v="5"/>
    <x v="2"/>
    <n v="17"/>
  </r>
  <r>
    <x v="5"/>
    <x v="3"/>
    <n v="18"/>
  </r>
  <r>
    <x v="6"/>
    <x v="0"/>
    <n v="6"/>
  </r>
  <r>
    <x v="6"/>
    <x v="1"/>
    <n v="6"/>
  </r>
  <r>
    <x v="6"/>
    <x v="2"/>
    <n v="15"/>
  </r>
  <r>
    <x v="6"/>
    <x v="3"/>
    <n v="20"/>
  </r>
  <r>
    <x v="7"/>
    <x v="0"/>
    <n v="7"/>
  </r>
  <r>
    <x v="7"/>
    <x v="1"/>
    <n v="4"/>
  </r>
  <r>
    <x v="7"/>
    <x v="2"/>
    <n v="15"/>
  </r>
  <r>
    <x v="7"/>
    <x v="3"/>
    <n v="19"/>
  </r>
  <r>
    <x v="8"/>
    <x v="0"/>
    <n v="7"/>
  </r>
  <r>
    <x v="8"/>
    <x v="1"/>
    <n v="4"/>
  </r>
  <r>
    <x v="8"/>
    <x v="2"/>
    <n v="12"/>
  </r>
  <r>
    <x v="8"/>
    <x v="3"/>
    <n v="18"/>
  </r>
  <r>
    <x v="9"/>
    <x v="0"/>
    <n v="7"/>
  </r>
  <r>
    <x v="9"/>
    <x v="1"/>
    <n v="4"/>
  </r>
  <r>
    <x v="9"/>
    <x v="2"/>
    <n v="12"/>
  </r>
  <r>
    <x v="9"/>
    <x v="3"/>
    <n v="18"/>
  </r>
  <r>
    <x v="10"/>
    <x v="0"/>
    <n v="7"/>
  </r>
  <r>
    <x v="10"/>
    <x v="1"/>
    <n v="4"/>
  </r>
  <r>
    <x v="10"/>
    <x v="2"/>
    <n v="12"/>
  </r>
  <r>
    <x v="10"/>
    <x v="3"/>
    <n v="18"/>
  </r>
  <r>
    <x v="11"/>
    <x v="0"/>
    <n v="7"/>
  </r>
  <r>
    <x v="11"/>
    <x v="1"/>
    <n v="5"/>
  </r>
  <r>
    <x v="11"/>
    <x v="2"/>
    <n v="14"/>
  </r>
  <r>
    <x v="11"/>
    <x v="3"/>
    <n v="17"/>
  </r>
  <r>
    <x v="12"/>
    <x v="0"/>
    <n v="7"/>
  </r>
  <r>
    <x v="12"/>
    <x v="1"/>
    <n v="5"/>
  </r>
  <r>
    <x v="12"/>
    <x v="2"/>
    <n v="14"/>
  </r>
  <r>
    <x v="12"/>
    <x v="3"/>
    <n v="17"/>
  </r>
  <r>
    <x v="13"/>
    <x v="0"/>
    <n v="7"/>
  </r>
  <r>
    <x v="13"/>
    <x v="1"/>
    <n v="7"/>
  </r>
  <r>
    <x v="13"/>
    <x v="2"/>
    <n v="15"/>
  </r>
  <r>
    <x v="13"/>
    <x v="3"/>
    <n v="16"/>
  </r>
  <r>
    <x v="14"/>
    <x v="0"/>
    <n v="7"/>
  </r>
  <r>
    <x v="14"/>
    <x v="1"/>
    <n v="9"/>
  </r>
  <r>
    <x v="14"/>
    <x v="2"/>
    <n v="16"/>
  </r>
  <r>
    <x v="14"/>
    <x v="3"/>
    <n v="12"/>
  </r>
  <r>
    <x v="15"/>
    <x v="0"/>
    <n v="7"/>
  </r>
  <r>
    <x v="15"/>
    <x v="1"/>
    <n v="5"/>
  </r>
  <r>
    <x v="15"/>
    <x v="2"/>
    <n v="14"/>
  </r>
  <r>
    <x v="15"/>
    <x v="3"/>
    <n v="15"/>
  </r>
  <r>
    <x v="16"/>
    <x v="0"/>
    <n v="7"/>
  </r>
  <r>
    <x v="16"/>
    <x v="1"/>
    <n v="5"/>
  </r>
  <r>
    <x v="16"/>
    <x v="2"/>
    <n v="14"/>
  </r>
  <r>
    <x v="16"/>
    <x v="3"/>
    <n v="15"/>
  </r>
  <r>
    <x v="17"/>
    <x v="0"/>
    <n v="8"/>
  </r>
  <r>
    <x v="17"/>
    <x v="1"/>
    <n v="6"/>
  </r>
  <r>
    <x v="17"/>
    <x v="2"/>
    <n v="15"/>
  </r>
  <r>
    <x v="17"/>
    <x v="3"/>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IS-22-035"/>
    <s v="An attacker could compromise the Uniphar B2B website"/>
    <s v="Host Sec"/>
    <s v="The Magento system is out of support and could contain unpatched vulnerabilities"/>
    <s v="A breach on the Magento site could expose data held on the server and put the site out of use for order taking."/>
    <x v="0"/>
    <s v="Hugh McDonnell"/>
    <s v="Short term: Site to be geo-restricted to UK and Ireland to reduce risk._x000a_Medium term: Plan to move to M2, supported version"/>
    <s v="Simon Harkin"/>
    <s v="Operational Risk"/>
    <s v="To be implemented"/>
    <n v="4"/>
    <n v="5"/>
    <n v="20"/>
    <s v="High"/>
    <n v="5"/>
    <n v="5"/>
    <n v="25"/>
    <x v="0"/>
    <s v="Mitigate"/>
    <s v="Business to move to M2, supported version"/>
    <s v="Version checked against supported version"/>
    <s v="07-SEP-2022 - Business case submitted and decision due next week_x000a_05-OCT-2022 Bus case awaiting approval by Tom. Target is by month end._x000a_02-NOV-2022 - Awaiting approval for upgrade_x000a_07-DEC-2022 Awaiting approval for upgrade_x000a_18-JAN-2023 Awaiting approval for upgrade - Risk to be raised by Feb if no update_x000a_23-FEB-2023 Awaiting approval for upgrade_x000a_12-APR-2023 - Awaiting approval for upgrade_x000a_24-MAY-2023 - Plan to migrate M1 to M2 in phase 1.  Decision expected in next few weeks._x000a_04-JUL-2023 - Getting updated quotation for rebuild on Magento M2. Decision expected this week.  Will be 6 months to implement_x000a_02-AUG-2023 - Solution to be presented to the business_x000a_04-OCT-2023 - Upgrade approved - waiting on resourced to be allocated and project to start_x000a_03-JAN-2024 - M2 upgrade kicked off - go live in July_x000a_07-FEB-2024 - Work in progress - go live in July_x000a_06-MAR-2024 - 17 July is go live date for Azure M2 - test environment available 29 March_x000a_03-APR-2024 - Monsoon's UAT environment to be available 19th of April in Azure"/>
  </r>
  <r>
    <s v="IS-24-009"/>
    <s v="Attacker can use unifile01 to attack the entire Windows network"/>
    <s v="Host Sec"/>
    <s v="NFS mounts on Unifile01 is preventing upgrading to a supported version of Windows"/>
    <s v="Instability has caused file shares to drop, affecting availability. Server has unpatched vulnerabilities that could be used to attack and escalate and spread laterally across the network"/>
    <x v="0"/>
    <s v="Hugh McDonnell"/>
    <s v="Retire unifile01 and move NFS and SMB mounts to supported types"/>
    <s v="Piotr Wojdowski"/>
    <s v="Legal &amp; Regulatory"/>
    <s v="To be implemented"/>
    <n v="5"/>
    <n v="5"/>
    <n v="25"/>
    <s v="High"/>
    <n v="5"/>
    <n v="5"/>
    <n v="25"/>
    <x v="0"/>
    <s v="Mitigate"/>
    <s v="Retire unifile01"/>
    <s v="Network scan"/>
    <s v="03-APR-2024 - AIX Upgrade cost approx €50k - to be approved"/>
  </r>
  <r>
    <s v="IS-24-002"/>
    <s v="Use of Unsupported SMB causing Availability issues in production"/>
    <s v="Host Sec"/>
    <s v="SMBv1 is enabled on Windows network as current version of AIX does not support V3"/>
    <s v="File transfers are failing and SMB v1 is no longer supported by Microsoft.  This is causing intermittent file transfer issues.  SMB v1 could break on a future update from Microsoft."/>
    <x v="0"/>
    <s v="Hugh McDonnell"/>
    <s v="Change to another protocol such as SCP"/>
    <s v="Piotr Wojdowski"/>
    <s v="Legal &amp; Regulatory"/>
    <s v="To be implemented"/>
    <n v="4"/>
    <n v="5"/>
    <n v="20"/>
    <s v="High"/>
    <n v="4"/>
    <n v="5"/>
    <n v="20"/>
    <x v="0"/>
    <s v="Mitigate"/>
    <s v="Move to SCP/other protocols / disable SMB v1 and v2 on all systems"/>
    <s v="Network scan"/>
    <s v="20-FEB-2024 Availability risk raised, along with existing Confidentiality/Integrity risk (IS-23-005)_x000a_06-MAR-2024 - SCP file transfer code sent to Piotr for implementation_x000a_03-APR-2024 - AIX upgrade proposed - €50k cost to be approved"/>
  </r>
  <r>
    <s v="IS-23-005"/>
    <s v="Attacker can move laterally on the network and elevate privileges"/>
    <s v="Network Sec"/>
    <s v="SMBv1 is enabled on Windows network as current version of AIX does not support V3"/>
    <s v="SMBv1 is not encrypted, making traffic across the network insecure.  An attacker gaining access to any part of the internal network can easily infiltrate any Windows server on the network"/>
    <x v="0"/>
    <s v="Hugh McDonnell"/>
    <s v="Upgrade to SMB v2 or change to another protocol such as SCP"/>
    <s v="Piotr Wojdowski"/>
    <s v="Legal &amp; Regulatory"/>
    <s v="To be implemented"/>
    <n v="5"/>
    <n v="4"/>
    <n v="20"/>
    <s v="High"/>
    <n v="5"/>
    <n v="4"/>
    <n v="20"/>
    <x v="0"/>
    <s v="Mitigate"/>
    <s v="Upgrade AIX and disable SMB v1 and v2 on all systems"/>
    <s v="Network scan"/>
    <s v="07-DEC-2023 - No Update_x000a_06-MAR-2024 -Proposal to replace SMB with SCP sent to Piotr_x000a_03-APR-2024 - As above"/>
  </r>
  <r>
    <s v="IS-22-002"/>
    <s v="Unpatchable warehouse OT system used to launch an attack"/>
    <s v="Threat/Vuln Mgt"/>
    <s v="OT equipment such as embedded control systems contain vulnerabilities that cannot be patched"/>
    <s v="Unpatched vulnerabilities can allow an attacker to take over Uniphar systems.  The OT environment contains critical systems most at risk of attack"/>
    <x v="0"/>
    <s v="David O'Brien"/>
    <s v="Long term: Minimise vulnerable systems in future OT environments and retire existing ones._x000a_Short term: Introduce network segmentation to reduce risk"/>
    <s v="Piotr Wojdowski"/>
    <s v="Operational Risk"/>
    <s v="To be implemented"/>
    <n v="5"/>
    <n v="4"/>
    <n v="20"/>
    <s v="High"/>
    <n v="5"/>
    <n v="4"/>
    <n v="20"/>
    <x v="0"/>
    <s v="Mitigate"/>
    <s v="Segmentation project tracked in separate risk: IS-22-003"/>
    <s v="Vulnerability scanning to verify vulnerable systems removed."/>
    <s v="See IS-22-003 - Segmentation Risk"/>
  </r>
  <r>
    <s v="IS-22-003"/>
    <s v="Attacker spreads laterally throughout Uniphar network"/>
    <s v="Network Sec"/>
    <s v="There is no firewall filtering between high and low risk areas of the network."/>
    <s v="A lack of Segmentation can allow attacker can move unimpeded from a compromised workstation to all production systems in Uniphar's network."/>
    <x v="0"/>
    <s v="Hugh McDonnell"/>
    <s v="Set up network segmentation using an internal firewall.  Set up a default-deny rulebase and allow only specific services traverse segments."/>
    <s v="Robert Early"/>
    <s v="Operational Risk"/>
    <s v="To be implemented"/>
    <n v="5"/>
    <n v="4"/>
    <n v="20"/>
    <s v="High"/>
    <n v="5"/>
    <n v="4"/>
    <n v="20"/>
    <x v="0"/>
    <s v="Mitigate"/>
    <s v="Presidio engaged to deploy internal firewalls to segment network"/>
    <s v="Network map scanning to verify Segmentation."/>
    <s v="28-JUL-2022  - Waiting on proposal for Presidio_x000a_07-SEP-2022 Submitted bus case waiting finance approval._x000a_05-OCT-2022 Segmentation project to be presented to IT leadership 07 OCT_x000a_02-NOV-2022 - PO to be created_x000a_07-DEC-2022 PO to be approved.  Meeting on 8th Dec to review proposal with Tim_x000a_18-JAN-2023 Requested new proposal from Presidio_x000a_12-APR-2023 Segmentation project approved - equipment on order with Presidio_x000a_23-FEB-2023 PO Raised, awaiting ETA date for hardware_x000a_24-MAY-2023 Hardware in Presidio, to allocate start date_x000a_04-JUL-2023 Determining location for firewall management_x000a_02-AUG-2023 Deployment of Palo Alto Panorama management being carried out by Devops team_x000a_04-OCT-2023 Awaiting Palo Alto Panorama management server to be deployed.  Firewalls physically installed._x000a_07-DEC-2023 - Firewalls in place in monitor mode, will start putting in blocking rules when change freeze is over in January_x000a_07-FEB-2023 - Plan is to retry putting firewalls live Feb 17th, with dependencies on Kyndryl changes_x000a_06-MAR-2024 - 3 VLANs could not be migrated, remainder migrated to internal firewalls.  Rulebase build to commence on migrated VLANs"/>
  </r>
  <r>
    <s v="IS-22-016"/>
    <s v="Personal device introduces malware onto network"/>
    <s v="Network Sec"/>
    <s v="Visitors and Employees can connect personal devices to the wireless network if they have the password."/>
    <s v="Personal devices could introduce malware onto our network"/>
    <x v="0"/>
    <s v="Hugh McDonnell"/>
    <s v="Introduce strong authentication for corporate wireless access, limiting it to corporate PCs only.  Set up open access network for guest/mobile devices, separate from corporate wireless network"/>
    <s v="Neville John"/>
    <s v="Operational Risk"/>
    <s v="To be implemented"/>
    <n v="4"/>
    <n v="5"/>
    <n v="20"/>
    <s v="High"/>
    <n v="4"/>
    <n v="5"/>
    <n v="20"/>
    <x v="0"/>
    <s v="Mitigate"/>
    <s v="Short term - create new corporate network and use MAC filtering.  Longer term: NAC (Cisco ISE) required to enable multiple wireless networks."/>
    <s v="Test connection to corporate wireless network.  Network scan guest network to verify no connection to corporate network."/>
    <s v="See IS-22-003 - Segmentation Risk"/>
  </r>
  <r>
    <s v="IS-22-037"/>
    <s v="Unknown vulnerability is exploited"/>
    <s v="Threat/Vuln Mgt"/>
    <s v="No automated network or agent based vulnerability scanning is in place."/>
    <s v="An unknown or undiscovered system could have vulnerabilities that could allow an attacked to compromise the Pharmacy network.  Pen tests occur too infrequently to highlight vulnerabilities."/>
    <x v="1"/>
    <s v="Louise Martin"/>
    <s v="A vulnerability scanning system to be acquired and vulnerability management procedures to be drawn up."/>
    <s v=" Gareth Reilly"/>
    <s v="Operational Risk"/>
    <s v="To be implemented"/>
    <n v="5"/>
    <n v="4"/>
    <n v="20"/>
    <s v="High"/>
    <n v="5"/>
    <n v="4"/>
    <n v="20"/>
    <x v="0"/>
    <s v="Mitigate"/>
    <s v="Vulnerability management system being implemented by managed service provider. "/>
    <s v="Scans for each division in place and monthly reporting of vulnerabilities set up."/>
    <s v="02-AUG-2022 - Licencing to be discussed with Hugh_x000a_08-SEP-2022 Managed service contract awaiting approval_x000a_02-NOV-2022 - Vulnerability management moving from Ergo to Innovate_x000a_08-DEC-2022 Ergo contract ends in February and rollout plan to be drawn up with Innovate_x000a_18-JAN-2023 - No Update_x000a_12-APR-2023 - To look at extending Qualys into Pharmacies_x000a_24-MAY-2023 - No update - priority on getting MFA in place as breach occurred_x000a_04-JUL-2023 - Awaiting MFA deployment to be completed first_x000a_02-AUG-2023 - Awaiting MFA deployment to be completed first_x000a_24-OCT-2023 - No Update_x000a_07-DEC-2023 - No Update_x000a_03-JAN-2024 - Innovate provided proposal - business case to be developed_x000a_06-MAR-2024 - Business case complete - awaiting approval"/>
  </r>
  <r>
    <s v="IS-24-005"/>
    <s v="Web-borne malware can be downloaded to endpoints"/>
    <s v="Host Sec"/>
    <s v="Allcare and Hickeys do not have web filtering in place."/>
    <s v="End users can download malware/ransomware with no protection"/>
    <x v="1"/>
    <s v="Louise Martin"/>
    <s v="Introduce Web Filtering"/>
    <s v=" Gareth Reilly"/>
    <s v="Operational Risk"/>
    <s v="To be implemented"/>
    <n v="4"/>
    <n v="5"/>
    <n v="20"/>
    <s v="High"/>
    <n v="4"/>
    <n v="5"/>
    <n v="20"/>
    <x v="0"/>
    <s v="Mitigate"/>
    <m/>
    <m/>
    <m/>
  </r>
  <r>
    <s v="IS-23-003"/>
    <s v="IBSNXT has vulnerabilities that attackers can exploit"/>
    <s v="Threat/Vuln Mgt"/>
    <s v="Pen test discovered Medium severity vulnerabilities on IBSNXT that cannot be mitigated - has XT client with Log4j Vuln"/>
    <s v="Obsolete systems that cannot be patched are used by attackers to launch an attack on the rest of the network"/>
    <x v="2"/>
    <s v="Keith Hynes"/>
    <s v="Short term: Isolate server_x000a_Longer term: Replace system"/>
    <s v="Matthew Kazafaniotis"/>
    <s v="Legal &amp; Regulatory"/>
    <s v="To be implemented"/>
    <n v="4"/>
    <n v="4"/>
    <n v="16"/>
    <s v="Med-High"/>
    <n v="4"/>
    <n v="4"/>
    <n v="16"/>
    <x v="1"/>
    <m/>
    <m/>
    <m/>
    <s v="04-OCT-2023 - Upgrading to windows 2019 server and installing Jetforms. Moving to latest XT client which connects to Iseries server_x000a_Upgrade in Progress_x000a_06-DEC-2023 - Upgrade in progress_x000a_03-JAN-2024 - Delays with testing_x000a_06-MAR-2024 - No Update_x000a_03-APR-2024 - Still being worked on.  Software being moved"/>
  </r>
  <r>
    <s v="IS-23-010"/>
    <s v="An attacker could exploit an obsolete install of Java to launch an attack"/>
    <s v="Host Sec"/>
    <s v="Approx 700 devices have unsupported Java due to compatibility requirements with IWACS"/>
    <s v="We are running an old version of Java that is no longer maintained. This creates a vulnerability that an attacked could exploit on any Windows workstation."/>
    <x v="0"/>
    <s v="Hugh McDonnell"/>
    <s v="Remove obsolete Java from any workstation the doesn't need it.  Remove Java from standard build. Investigate if VDI could be used to contain obsolete Java"/>
    <s v="Neville John"/>
    <s v="Operational Risk"/>
    <s v="To be implemented"/>
    <n v="4"/>
    <n v="4"/>
    <n v="16"/>
    <s v="Med-High"/>
    <n v="4"/>
    <n v="4"/>
    <n v="16"/>
    <x v="1"/>
    <s v="Mitigate"/>
    <m/>
    <s v="Scan environment for old versions of Java"/>
    <s v="07-DEC-2023 - VDI environment being build to isolate use of old Java_x000a_07-FEB-2024 - Trial device in test room, to be moved to Warehouse_x000a_06-MAR-2024 - No Update"/>
  </r>
  <r>
    <s v="IS-22-009"/>
    <s v="An attacker could use remote access to get onto Uniphar machines"/>
    <s v="Host Sec"/>
    <s v="TightVNC is used by the service desk for remote support activities. Patches are unavailable and connections are possible over the internet for machines not on corporate LAN "/>
    <s v="TightVNC is produced in Russia, which has affected the ability to patch, in addition it is not MFA secured and is publicly accessible."/>
    <x v="0"/>
    <s v="Hugh McDonnell"/>
    <s v="Replace with a dedicated remote support utility that also enforces MFA"/>
    <s v="Neville John"/>
    <s v="Operational Risk"/>
    <s v="To be implemented"/>
    <n v="4"/>
    <n v="4"/>
    <n v="16"/>
    <s v="Med-High"/>
    <n v="4"/>
    <n v="4"/>
    <n v="16"/>
    <x v="1"/>
    <s v="Mitigate"/>
    <s v="Source and implement a commercial remote-support system"/>
    <s v="Scan asset register for installed versions of TightVNC"/>
    <s v="06-DEC-2023 - Looking at Microsoft alternative_x000a_07-FEB-2024 - Nevil to get update from Sean_x000a_06-MAR-2024 - Migrated to Zoho remote support - need to check when client can be removed"/>
  </r>
  <r>
    <s v="IS-24-004"/>
    <s v="Phishing and other emails can get through to end users"/>
    <s v="Host Sec"/>
    <s v="Allcare, Hickeys and McCauleys rely on M365 built-in phishing and malware protection which has been proven to be insufficient"/>
    <s v="We already had successful phishing attacks let through, resulting in account compromise."/>
    <x v="1"/>
    <s v="Louise Martin"/>
    <s v="Introduce Proofpoint secure email gateway"/>
    <s v=" Gareth Reilly"/>
    <s v="Operational Risk"/>
    <s v="To be implemented"/>
    <n v="4"/>
    <n v="4"/>
    <n v="16"/>
    <s v="Med-High"/>
    <n v="4"/>
    <n v="4"/>
    <n v="16"/>
    <x v="1"/>
    <s v="Mitigate"/>
    <m/>
    <m/>
    <m/>
  </r>
  <r>
    <s v="IS-24-005"/>
    <s v="Lack of user awareness training leads to breach caused by user clicking on malicious link or opening malicious email."/>
    <s v="Host Sec"/>
    <s v="Additional awareness training should be targeted towards risky users, i.e. ones that click on suspicious links"/>
    <s v="Not providing extra supports to risky users to identify suspicious links can increase the likelihood of a successful attack"/>
    <x v="1"/>
    <s v="Louise Martin"/>
    <s v="Introduce Security Awareness Training"/>
    <s v=" Gareth Reilly"/>
    <s v="Operational Risk"/>
    <s v="To be implemented"/>
    <n v="4"/>
    <n v="4"/>
    <n v="16"/>
    <s v="Med-High"/>
    <n v="4"/>
    <n v="4"/>
    <n v="16"/>
    <x v="1"/>
    <s v="Mitigate"/>
    <m/>
    <m/>
    <m/>
  </r>
  <r>
    <s v="IS-24-008"/>
    <s v="An active attack may not be contained"/>
    <s v="Host Sec"/>
    <s v="ESET AV is inplace however it does not have the detection or containment facilities that an EDR solution would have"/>
    <s v="If we are notified of a compromised host, it is essential that we can isolate that host immediately.  Today we cannot, so we would have limited ability to respond in the face of an active attach."/>
    <x v="1"/>
    <s v="Louise Martin"/>
    <s v="Deploy a Group approved EDR Solution"/>
    <s v="Gareth Reilly"/>
    <s v="Operational Risk"/>
    <s v="To be implemented"/>
    <n v="4"/>
    <n v="4"/>
    <n v="16"/>
    <s v="Med-High"/>
    <n v="4"/>
    <n v="4"/>
    <n v="16"/>
    <x v="1"/>
    <s v="Mitigate"/>
    <m/>
    <m/>
    <m/>
  </r>
  <r>
    <s v="IS-22-043"/>
    <s v="Unknown vulnerability is exploited"/>
    <s v="Threat/Vuln Mgt"/>
    <s v="EOL AIX / VIO / HMC Servers could not be patched. Kyndryl Risk ID 10636"/>
    <s v="Uniphar is currently running an EOL AIX/VIO/HMC environment as per their business requirement which could not be patched"/>
    <x v="0"/>
    <s v="Hugh McDonnell"/>
    <s v="Short term: Introduce segmentation to isolate systems as much as possible_x000a_Longer term: Migration to S/4 Hana"/>
    <s v="Piotr Wojdowski"/>
    <s v="Operational Risk"/>
    <s v="To be implemented"/>
    <n v="5"/>
    <n v="3"/>
    <n v="15"/>
    <s v="Med-High"/>
    <n v="5"/>
    <n v="3"/>
    <n v="15"/>
    <x v="1"/>
    <s v="Mitigate"/>
    <s v="Segmentation project tracked in separate risk: IS-22-003"/>
    <s v="Vulnerability scans confirming systems no longer vulnerable"/>
    <s v="See IS-22-003 - Segmentation Risk_x000a_06-DEC-2023 - Awaiting segmentation project_x000a_03-JAN-2024 - As above_x000a_06-MAR-2024 - As above"/>
  </r>
  <r>
    <s v="IS-23-007a"/>
    <s v="An attacker could obtain MFA codes and take over accounts"/>
    <s v="IAM"/>
    <s v="Phishing-prone MFA is susceptible to social engineering or man in the middle attacks"/>
    <s v="Legacy MFA methods like SMS and one time code are obtainable by attackers, leading to account compromise"/>
    <x v="2"/>
    <s v="Dan Piggott"/>
    <s v="Deploy phishing resistant MFA: YubiKey for high-risk users and Number Matching for all other scenarios"/>
    <s v="Matthew Kazafaniotis"/>
    <s v="Operational Risk"/>
    <s v="To be implemented"/>
    <n v="5"/>
    <n v="3"/>
    <n v="15"/>
    <s v="Med-High"/>
    <n v="5"/>
    <n v="3"/>
    <n v="15"/>
    <x v="1"/>
    <s v="Mitigate"/>
    <s v="Deploy Phishing resistant MFA and disable SMS and One time code authentication types"/>
    <s v="Check sign in logs for any SMS or One time code access"/>
    <s v="04-OCT-2023 - YubiKey rollout to 16 divisions, approx. 70% complete_x000a_06-DEC-2023 - YubiKey deployment complete, Matt to check group membership_x000a_03-JAN-2024 - Number matching and YubiKeys deployed.  Non-phishing resistant MFA to be disabled_x000a_06-MAR-2024 - No Update_x000a_03-APR-2024 - legacy MFA disabled - risk to be closed"/>
  </r>
  <r>
    <s v="IS-24-003"/>
    <s v="Obsolete Nfsaxe software in use on Reality system and can be exploited "/>
    <s v="Network Sec"/>
    <s v="Nfsaxe is used on production systems and have two critical 9.8 CVS score vulnerabilities"/>
    <s v="Nfsaxe could be used by an attacker to gain administrator privileges once on the internal network"/>
    <x v="0"/>
    <s v="Hugh McDonnell"/>
    <s v="Migrate to a supported file transfer mechanism such as SCP"/>
    <m/>
    <s v="Legal &amp; Regulatory"/>
    <s v="To be implemented"/>
    <n v="5"/>
    <n v="3"/>
    <n v="15"/>
    <s v="Med-High"/>
    <n v="5"/>
    <n v="3"/>
    <n v="15"/>
    <x v="1"/>
    <s v="Mitigate"/>
    <m/>
    <s v="Configuration Review"/>
    <s v="06-MAR-2024 - No update"/>
  </r>
  <r>
    <s v="IS-24-009"/>
    <s v="IBM AS400 iSeries has vulnerabilities that attackers can exploit"/>
    <s v="Threat/Vuln Mgt"/>
    <s v="Pen test discovered vulnerabilities on the iSeries that cannot be mitigated"/>
    <s v="Obsolete systems that cannot be patched are used by attackers to launch an attack on the rest of the network"/>
    <x v="2"/>
    <s v="Keith Hynes"/>
    <s v="Short term: Isolate server_x000a_Longer term: Replace system"/>
    <s v="Matthew Kazafaniotis"/>
    <s v="Legal &amp; Regulatory"/>
    <s v="To be implemented"/>
    <n v="4"/>
    <n v="4"/>
    <n v="16"/>
    <s v="Med-High"/>
    <n v="4"/>
    <n v="4"/>
    <n v="16"/>
    <x v="1"/>
    <m/>
    <m/>
    <m/>
    <m/>
  </r>
  <r>
    <s v="IS-24-010"/>
    <s v="An attacker can circumvent boundary protections to launch an attack"/>
    <s v="Host Sec"/>
    <s v="Allcare and Hickeys use FortiGate firewalls which are not an approved firewall type in Uniphar"/>
    <s v="FortiGate devices have caused several high-profile breaches in recent years due to zero day vulnerabilities"/>
    <x v="1"/>
    <s v="Louise Martin"/>
    <s v="Replace FortiGate firewalls with Uniphar approved types"/>
    <s v=" Gareth Reilly"/>
    <s v="Operational Risk"/>
    <s v="To be implemented"/>
    <n v="5"/>
    <n v="3"/>
    <n v="15"/>
    <s v="Med-High"/>
    <n v="5"/>
    <n v="3"/>
    <n v="15"/>
    <x v="1"/>
    <s v="Mitigate"/>
    <m/>
    <m/>
    <m/>
  </r>
  <r>
    <s v="IS-22-041"/>
    <s v="An attacker could use batch files run as administrator to elevate privileges"/>
    <s v="IAM"/>
    <s v="Batch files are being run as administrator with insufficient protection"/>
    <s v="An attacker could insert commands into batch files as a regular user to be run ad administrator, leading to a network-wide compromise."/>
    <x v="0"/>
    <s v="Hugh McDonnell"/>
    <s v="Close open writable shares.  Downgrade scheduled tasks to non-privileged users"/>
    <s v="Neville John"/>
    <s v="Operational Risk"/>
    <s v="To be implemented"/>
    <n v="3"/>
    <n v="4"/>
    <n v="12"/>
    <s v="Medium"/>
    <n v="3"/>
    <n v="4"/>
    <n v="12"/>
    <x v="2"/>
    <s v="Mitigate"/>
    <s v="Batch files to be replaced by a modern file handling system"/>
    <s v="04-JUL-2023 - To be moved to Data Factory - update due tomorrow"/>
    <s v="02-NOV-2022 - Analysis to be carried out on existing batch files_x000a_18-JAN-2023 To hold call to determine risk owner and actions_x000a_23-FEB-2023 Cleanup carried out on batch files, Devops to look at file factory in Azure_x000a_12-APR-2023 No Update_x000a_24-MAY-2023 To be replaced by Data Factory or Azure Synapse, to be kicked off next week_x000a_06-DEC-2023 - Devops working on replacement, work expected to complete shortly_x000a_07-FEB-2024 - Devops continue working on replacement, working through issues_x000a_06-MAR-2024 - Needs Whitelisted IP change on external tool for final transfer_x000a_03-APR-2024 - Neville to check with Devops on status"/>
  </r>
  <r>
    <s v="IS-22-031"/>
    <s v="BCT website breach due to poor encryption and lack of MFA"/>
    <s v="IAM"/>
    <s v="Business Communication Tool Website is not HTTPS enabled nor MFA enabled.  Site is no longer under support."/>
    <s v="Using unencrypted channels for authentication risks credentials being sniffed.  Not enabling MFA runs the risk of credential stuffing and the use of stolen credentials.  Site could contain unpatched vulnerabilities."/>
    <x v="0"/>
    <s v="Liam Regan"/>
    <s v="Website restricted to Irish IPs as partial mitigation, however website needs to be remediated or migrated to secure platform."/>
    <s v="Mick Dunne"/>
    <s v="Operational Risk"/>
    <s v="To be implemented"/>
    <n v="4"/>
    <n v="3"/>
    <n v="12"/>
    <s v="Medium"/>
    <n v="4"/>
    <n v="3"/>
    <n v="12"/>
    <x v="2"/>
    <s v="Mitigate"/>
    <m/>
    <m/>
    <s v="05-OCT-2022 - Held discussion with Liam, issue is with another server that relies on the BCT server. _x000a_18-JAN-2023 - No Update_x000a_12-APR-2023 No Update_x000a_23-MAY-2023 No Update_x000a_04-JUL-2023 -  No Update_x000a_24-OCT-2023 No Update_x000a_06-MAR-2024 - No Update"/>
  </r>
  <r>
    <s v="IS-22-033"/>
    <s v="Data breach caused by inadvertent or deliberate access to shared account data"/>
    <s v="IAM"/>
    <s v="Shared accounts and weakly secured accounts on Windows systems in pharmacies."/>
    <s v="A malicious insider or someone who obtains a shared account password could access sensitive patient data in a pharmacy."/>
    <x v="1"/>
    <s v="Louise Martin"/>
    <s v="Shared accounts to be replaced by individual named accounts._x000a_Sufficiently strong password controls or equivalent hardware tokens to be put in place."/>
    <s v=" Gareth Reilly"/>
    <s v="Legal &amp; Regulatory"/>
    <s v="To be implemented"/>
    <n v="4"/>
    <n v="3"/>
    <n v="12"/>
    <s v="Medium"/>
    <n v="4"/>
    <n v="3"/>
    <n v="12"/>
    <x v="2"/>
    <s v="Mitigate"/>
    <s v="Expected to be resolved as part of the migration to Three.  Per-user licencing costs expected to increase.  Current contract up in FEB 23"/>
    <s v="Review authentication policies and user accounts"/>
    <s v="02-AUG-2022 - Proposal received last week.  Commercial negotiations underway._x000a_08-SEP-2022 Managed service contract awaiting approval_x000a_02-NOV-2022 - To move to individual licenced a/cs as part of MFA implementation_x000a_08-DEC-2022 Shared account solution being examined by Innovate_x000a_18-JAN-2023 Shared account solution being examined by Innovate_x000a_12-APR-2023 - 365 a/c will be dealt with MFA project.  Generic login will remain on local PCs_x000a_23-MAY-2023 - As per MFA Risk_x000a_17-JUL-2023 - MFA project will not resolve shared accounts.  No solution proposed for shared accounts_x000a_01-NOV-2023 - Shared accounts are required by business - risk to be accept risk_x000a_03-JAN-2024 - Risk acceptance form to be created_x000a_06-MAR-2024 - Risk acceptance form submitted"/>
  </r>
  <r>
    <s v="IS-24-006"/>
    <s v="Administrator account breach caused by phishing or malicious web link"/>
    <s v="Host Sec"/>
    <s v="Allcare, Hickeys and McCauleys do not have  Privileged Identity Management (PIM)"/>
    <s v="The likelihood of an breach due to admin-level privileges permanently assigned is increased."/>
    <x v="1"/>
    <s v="Louise Martin"/>
    <s v="Introduce Privileged Identity Management and remove permanent rights assignments"/>
    <s v=" Gareth Reilly"/>
    <s v="Operational Risk"/>
    <s v="To be implemented"/>
    <n v="4"/>
    <n v="3"/>
    <n v="12"/>
    <s v="Medium"/>
    <n v="4"/>
    <n v="3"/>
    <n v="12"/>
    <x v="2"/>
    <s v="Mitigate"/>
    <m/>
    <m/>
    <m/>
  </r>
  <r>
    <s v="IS-24-009"/>
    <s v="An attack may go undiscovered until too late"/>
    <s v="Host Sec"/>
    <s v="There is no SIEM in place in Hickeys and Allcare so log correlation is not centralised"/>
    <s v="A lack of a SIEM service means that an attacked could spread across the network without being detected"/>
    <x v="1"/>
    <s v="Louise Martin"/>
    <s v="Deploy a Group approved SIEM Service"/>
    <s v="Gareth Reilly"/>
    <s v="Operational Risk"/>
    <s v="To be implemented"/>
    <n v="4"/>
    <n v="3"/>
    <n v="12"/>
    <s v="Medium"/>
    <n v="4"/>
    <n v="3"/>
    <n v="12"/>
    <x v="2"/>
    <s v="Mitigate"/>
    <m/>
    <m/>
    <m/>
  </r>
  <r>
    <s v="IS-22-040"/>
    <s v="An attacker could access patient data on Healthpoint"/>
    <s v="Software Sec"/>
    <s v="Healthpoint is running on obsolete software with poor controls"/>
    <s v="An attacker could exploit a vulnerability on the website and exfiltrate patient data"/>
    <x v="0"/>
    <s v="Hugh McDonnell"/>
    <s v="Upgrade/secure existing platform or migrate to new system"/>
    <s v="Piotr Wojdowski"/>
    <s v="Operational Risk"/>
    <s v="To be implemented"/>
    <n v="5"/>
    <n v="4"/>
    <n v="20"/>
    <s v="High"/>
    <n v="5"/>
    <n v="2"/>
    <n v="10"/>
    <x v="2"/>
    <s v="Mitigate"/>
    <s v="Migration or upgrade strategy to be decided"/>
    <m/>
    <s v="02-NOV-2022 - No Update_x000a_18-JAN-2023  - No Update_x000a_12-APR-2023 - To follow up with Hugh for Update_x000a_24-MAY-2023 - Expleo to be engaged to develop replacement_x000a_04-JUL-2023 - Kick-off due in next few days_x000a_24-OCT-2023 No Update_x000a_03-JAN-2024 - Full platform review in progress - code and hosting. PM assigned &lt;nikhilesh.gubbala@expleogroup.com&gt;_x000a_06-MAR-2024 - Healthpoint site in production - Likelihood to be reduce.  To be set up on Qualys WAS and included in the Global annual pen test_x000a_03-APR-2024 - To confirm if old site is decomissioned"/>
  </r>
  <r>
    <s v="IS-22-042"/>
    <s v="An undiscovered asset could be used to launch an attack"/>
    <s v="Threat/Vuln Mgt"/>
    <s v="Centralised asset and patch management is not in place for Allcare"/>
    <s v="An unmanaged asset will be in an unknown state and patching may not occur.  An attacker could exploit the unmanaged asset to launch an attack."/>
    <x v="1"/>
    <s v="Louise Martin"/>
    <s v="Implement asset and patch management for Allcare"/>
    <s v=" Gareth Reilly"/>
    <s v="Operational Risk"/>
    <s v="Monthly"/>
    <n v="5"/>
    <n v="3"/>
    <n v="15"/>
    <s v="Med-High"/>
    <n v="5"/>
    <n v="2"/>
    <n v="10"/>
    <x v="2"/>
    <s v="Mitigate"/>
    <s v="Asset and vulnerability management are being discussed with Innovate, the new managed services provider"/>
    <s v="Asset scanning for each division in place and centralised patching set up"/>
    <s v="02-NOV-2022 - Vulnerability and asset management moving from Ergo to Innovate_x000a_08-DEC-2022 Ergo contract ends in Feb, Innovate to deploy asset management while replacing computers_x000a_18-JAN-2023 - No Update_x000a_12-APR-2023 - Patch management in place.  Reporting to be investigated. Risk reduced_x000a_23-MAY-2023 - No Update_x000a_04-JUL-2023 - No Update_x000a_17-JUL-2023 - Patch management is carried out by Innovate_x000a_01-NOV-2023 - Servers on Hickeys to be retired.  Workstations on 22H1, last few being applied.  Gareth to discuss reporting with Innovate_x000a_03-JAN-2024  - Proposal provided by innovate, business case to be created_x000a_06-MAR-2024 - Business case submitted"/>
  </r>
  <r>
    <s v="IS-23-001"/>
    <s v="Win Auto account carries out automation over interactive sessions"/>
    <s v="IAM"/>
    <s v="Win Auto account logs in interactively and runs scripts unattended on the VM. Operation is not monitored by IT"/>
    <s v="Attackers can leverage accounts with interactive privileges to take over target machines.  Unmonitored sessions could mask malicious activity."/>
    <x v="0"/>
    <s v="Hugh McDonnell"/>
    <s v="Replace with non-interactive service account"/>
    <s v="Paul Nolan"/>
    <s v="Operational Risk"/>
    <s v="To be implemented"/>
    <n v="3"/>
    <n v="3"/>
    <n v="9"/>
    <s v="Medium"/>
    <n v="3"/>
    <n v="3"/>
    <n v="9"/>
    <x v="2"/>
    <s v="Mitigate"/>
    <m/>
    <m/>
    <s v="07-DEC-2023 - No Update_x000a_06-MAR-2024 - To get more information from Stephen Tyndall"/>
  </r>
  <r>
    <s v="IS-22-009"/>
    <s v="Attacker exploits vulnerability on Windows servers in Group"/>
    <s v="Threat/Vuln Mgt"/>
    <s v="Servers are not patched in accordance with Patch SLA as defined in the patching policy"/>
    <s v="Unpatched vulnerabilities can allow an attacker to take over Uniphar systems"/>
    <x v="0"/>
    <s v="Hugh McDonnell"/>
    <s v="Introduce patching process as part of vulnerability management to automate patching as much as possible.    Rework patch schedule to bring in line with Patch SLA. Acquire resource to maintain systems, including patch application"/>
    <s v="Neville John"/>
    <s v="Operational Risk"/>
    <s v="To be implemented"/>
    <n v="3"/>
    <n v="3"/>
    <n v="9"/>
    <s v="Medium"/>
    <n v="3"/>
    <n v="3"/>
    <n v="9"/>
    <x v="2"/>
    <s v="Mitigate"/>
    <s v="Resource identified for 2023 resourcing budget to manage patching."/>
    <s v="Windows patching in line with Patch policy SLA and verified by Vulnerability Management"/>
    <s v="06-AUG-2022 Qualys implementation to begin this week, initial kick off call to be held._x000a_07-SEP-2022 Qualys implementation ongoing_x000a_05-Oct-2022 - Qualys install due for completion w/c 10th_x000a_02-NOV-2022 - Server patching to be tasked to new role_x000a_07-DEC-2022 Patching role recruitment commenced_x000a_18-JAN-2023 Patching quarterly at the moment, recruitment process ongoing_x000a_12-APR-2023 Recruitment ongoing_x000a_23-FEB-2023 Patching quarterly at the moment, recruitment process ongoing_x000a_23-MAY-2023 Interviewing ongoing for extra resource_x000a_04-JUL-2023 - Role with multiple agencies, still looking_x000a_06-MAR-2024 - Vulnerability management _x000a_04-OCT-2023 - IT Infrastructure specialist commenced 02-OCT to address SCCM issues and patch vulnerabilities_x000a_06-DEC-2023 - Aran pathing servers monthly.  Significant vulnerabilities remain in relation to Java.  Working on VDI isolated environment to replace_x000a_07-FEB-2024 - Patching servers now monthly, low risk servers to be included in Feb_x000a_06-MAR-2024 - Patching improvements underway_x000a_03-APR-2024 - Patchin occuring monthly, automation being developed"/>
  </r>
  <r>
    <s v="IS-23-011"/>
    <s v="An account created by IBM on the jump server could be used to launch an attack"/>
    <s v="IAM"/>
    <s v="The UNIJUMP server has approx. 50 IBM accounts that were not crated by Uniphar"/>
    <s v="IBM created accounts are not managed or administered by Uniphar so may be subverted for use"/>
    <x v="0"/>
    <s v="Hugh McDonnell"/>
    <s v="Short term: Remove/disable accounts and remote local administrator rights_x000a_Longer term: Replace jump server with VDI server for remote access"/>
    <s v="Piotr Wojdowski"/>
    <s v="Operational Risk"/>
    <s v="To be implemented"/>
    <n v="3"/>
    <n v="3"/>
    <n v="9"/>
    <s v="Medium"/>
    <n v="3"/>
    <n v="3"/>
    <n v="9"/>
    <x v="2"/>
    <s v="Mitigate"/>
    <m/>
    <m/>
    <s v="03-JAN-2024 - Accounts being worked on - to get update from Neville_x000a_06-MAR-2024 - No Update_x000a_03-APR-2024 - Jump server still in place - proposed bastion connection"/>
  </r>
  <r>
    <s v="IS-24-001"/>
    <s v="Lack of visibility in Azure would prevent Security team from acting"/>
    <s v="Host Sec"/>
    <s v="Logging in Azure is not forwarded to 24x7 SOC"/>
    <s v="Azure is a blind spot and not monitored by the SOC. This could allow an attack to go unseen."/>
    <x v="0"/>
    <s v="Hugh McDonnell"/>
    <s v="Set up Sentinel to forward events to SecurityHQ"/>
    <s v="David Rodrigues"/>
    <s v="Operational Risk"/>
    <s v="To be implemented"/>
    <n v="3"/>
    <n v="3"/>
    <n v="9"/>
    <s v="Medium"/>
    <n v="3"/>
    <n v="3"/>
    <n v="9"/>
    <x v="2"/>
    <s v="Mitigate"/>
    <s v="Configure Sentinel to forward alerts to Security HQ"/>
    <s v="Check logs being received on SIEM"/>
    <s v="06-MAR-2024 - Sentinel being configured to forward logs to SHQ"/>
  </r>
  <r>
    <s v="IS-22-012"/>
    <s v="Removable media causes data breach or used to introduce malware - Supply Chain &amp; Retail"/>
    <s v="Asset Mgt"/>
    <s v="Removable media requirements are not consistent across divisions"/>
    <s v="Inappropriate use of removable media can allow malware to be introduced to the corporate network and also risk data loss through the use of unapproved removable media."/>
    <x v="1"/>
    <s v="Louise Martin"/>
    <s v="Enforce removable media encryption.  Ensure endpoint security is configured to scan removable media."/>
    <s v=" Gareth Reilly"/>
    <s v="Legal &amp; Regulatory"/>
    <s v="To be implemented"/>
    <n v="3"/>
    <n v="3"/>
    <n v="9"/>
    <s v="Medium"/>
    <n v="3"/>
    <n v="3"/>
    <n v="9"/>
    <x v="2"/>
    <s v="Mitigate"/>
    <s v="Group Policy not possible at the moment as machines not on network.  Will need to utilise Azure."/>
    <s v="GPO policy review for each entity"/>
    <s v="02-AUG-2022 - Discussions with Three and Innovate and will return with proposal._x000a_08-SEP-2022 Managed service contract awaiting approval_x000a_05-OCT-2022 SO Uk and Nordics compliant. _x000a_02-NOV-2022 - Meeting to be held Friday to discuss_x000a_08-DEC-2022 Meeting to be rescheduled_x000a_18-JAN-2023 - No Update_x000a_22-MAY-2023 - No Update_x000a_12-APR-2023 - Some requirements to connect removable media.  Possible solutions to be researched_x000a_17-JUL-2023 Removable media is required to download security camera footage and for Hickeys McLernon's backups, the backups are being one by one relocated to Azure folders._x000a_01-NOV-2023 - Azure folders cannot be supported on stores with low bandwidth / some USB access required for example for exporting CCTV_x000a_03-JAN-2024 - Any stores that do not have sufficient bandwidth - getting new networks Q1/Q2 this year.  Relocating backups to Azure_x000a_06-MAR-2024 - No Update"/>
  </r>
  <r>
    <s v="IS-23-009"/>
    <s v="An attacker could use privileges granted to an application"/>
    <s v="IAM"/>
    <s v="McLernon's software requires local admin rights to run"/>
    <s v="An attacker could use local admin rights to elevate privileges if they gained access to the McLernon's PCs"/>
    <x v="0"/>
    <s v="Hugh McDonnell"/>
    <s v="Create separate VLAN for McLernon's PCs as part of segmentation project"/>
    <s v="Neville John"/>
    <s v="Operational Risk"/>
    <s v="To be implemented"/>
    <n v="4"/>
    <n v="2"/>
    <n v="8"/>
    <s v="Medium"/>
    <n v="4"/>
    <n v="2"/>
    <n v="8"/>
    <x v="2"/>
    <s v="Mitigate"/>
    <s v="Segment McLernon's PCs on to their own VLAN and firewall off from rest of network"/>
    <s v="Connectivity checks between McLernon's PCs and rest of network"/>
    <s v="See Segmentation Risk"/>
  </r>
  <r>
    <s v="IS-23-008"/>
    <s v="Office 365 data downloaded to unprotected non Uniphar devices could be stolen"/>
    <s v="Data Protection"/>
    <s v="Files can be downloaded from Office 365 to unmanaged devices via the web"/>
    <s v="A person with access to Office 365 can download data, which could then be subsequently lost, causing a data breach"/>
    <x v="0"/>
    <s v="Hugh McDonnell"/>
    <s v="Restrict web access to Office 365 to managed devices only"/>
    <s v="Neville John"/>
    <s v="Operational Risk"/>
    <s v="To be implemented"/>
    <n v="4"/>
    <n v="2"/>
    <n v="8"/>
    <s v="Medium"/>
    <n v="4"/>
    <n v="2"/>
    <n v="8"/>
    <x v="2"/>
    <s v="Mitigate"/>
    <s v="Restrict access to Office 365 to managed devices for all protocols"/>
    <s v="Attempt to log in to O365 via web, check in logs"/>
    <s v="06-DEC-2023 - To be looked at in Q1 2024_x000a_07-FEB-2024 - Added to list of tasks to be carried out by Jan_x000a_06-MAR-2024 - No Update_x000a_03-APR-2024 - on Jan's backlog"/>
  </r>
  <r>
    <s v="IS-23-006"/>
    <s v="An attacker could obtain MFA codes and take over accounts"/>
    <s v="IAM"/>
    <s v="Phishing-prone MFA is susceptible to social engineering or man in the middle attacks"/>
    <s v="Legacy MFA methods like SMS and one time code are obtainable by attackers, leading to account compromise"/>
    <x v="0"/>
    <s v="Hugh McDonnell"/>
    <s v="Deploy phishing resistant MFA: YubiKey for high-risk users and Number Matching for all other scenarios"/>
    <s v="Robert Early"/>
    <s v="Operational Risk"/>
    <s v="To be implemented"/>
    <n v="5"/>
    <n v="3"/>
    <n v="15"/>
    <s v="Med-High"/>
    <n v="3"/>
    <n v="2"/>
    <n v="6"/>
    <x v="3"/>
    <s v="Mitigate"/>
    <s v="Deploy Phishing resistant MFA and disable SMS and One time code authentication types"/>
    <s v="Check sign in logs for any SMS or One time code access"/>
    <s v="03-OCT-2023 - Initial batch of YubiKeys distributed.  Awaiting PO approval for further 200 devices_x000a_07-DEC-2023 - Second batch obtained and being distributed_x000a_06-MAR-2024 - SMS/Onetime codes are disabled - only phish resistant MFA is enabled - risk to be downgraded"/>
  </r>
  <r>
    <s v="IS-22-005"/>
    <s v="Recovery from an attack could be prolonged by not having a defined response plan."/>
    <s v="Incident Response"/>
    <s v="The L1 critical ordering process represent the highest-priority business process"/>
    <s v="Without an Incident Response Process for the L1 Critical ordering process, recovery from a successful attack would be prolonged and damaging to the business."/>
    <x v="0"/>
    <s v="Hugh McDonnell"/>
    <s v="Utilise Deloitte to produce an actionable L1 critical response process and playbook."/>
    <s v="Eugene Connell"/>
    <s v="Operational Risk"/>
    <s v="Monthly"/>
    <n v="5"/>
    <n v="3"/>
    <n v="15"/>
    <s v="Med-High"/>
    <n v="3"/>
    <n v="2"/>
    <n v="6"/>
    <x v="3"/>
    <s v="Mitigate"/>
    <s v="Deloitte engage to produce BIA and incident response process for L1 process."/>
    <s v="L1 Incident Response Process established, communicated and tabletop tested._x000a_23-FEB-2023 Tabletop test postponed until May"/>
    <s v="07-SEP-2022 Policy, Playbook and BIA issued.  Capturing feedback, meeting with business to be scheduled._x000a_05-OCT-2022 - Working on getting BIAs signed off_x000a_07-DEC-2022 BIA to be signed off, Policy and Playbook out for second round of comment_x000a_18-JAN-2023 BIA signed off.  Tabletop test of Incident Response process to be held in February. Lowering risk as policy in place and BIA approved_x000a_12-APR-2023 Tabletop test postponed until May_x000a_24-MAY-2023 Tabletop test performed this week, action list to be produced.  Azure PoC for PIMS carried out._x000a_04-JUL-2023 - Actions from Tabletop Test being followed up on_x000a_04-OCT-2023 - Exec level tabletop test proposed and awaiting approval_x000a_07-DEC-2023 - Awaiting scheduling for exec level tabletop test_x000a_06-MAR-2024 - No Update"/>
  </r>
  <r>
    <s v="IS-22-023"/>
    <s v="Differences in security tool coverage allows an attacker exploit the weakest link."/>
    <s v="Architecture"/>
    <s v="Security tools across the non-connected entities differ, resulting in inconsistent control application and a lack of visibility."/>
    <s v="Inconsistent and incompatible security control application can increase the risk of breaches and successful breaches remaining undetected for an extended period of time."/>
    <x v="3"/>
    <s v="Hugh McDonnell"/>
    <s v="Set standards for security controls, align security controls starting with higher-risk companies first."/>
    <s v="Robert Early"/>
    <s v="Operational Risk"/>
    <s v="Quarterly"/>
    <n v="3"/>
    <n v="5"/>
    <n v="15"/>
    <s v="Med-High"/>
    <n v="3"/>
    <n v="2"/>
    <n v="6"/>
    <x v="3"/>
    <s v="Mitigate"/>
    <s v="Authentication standard published.  Standards will be further aligned post domain consolidation."/>
    <s v="Standard in place and control audit carried out."/>
    <s v="06-AUG-2022 Discussions ongoing with Microsoft to determine what can be done to centralise logging between Azure AD tenancies. _x000a_07-SEP-2022 Microsoft presenting possible solution  Fri 16th_x000a_05-OCT-2022 - Trialling Azure Ad log forwarding from Durbin USA_x000a_02-NOV-2022 Issues with log forwarding being worked on by DevOps team_x000a_18-JAN-2023 Log forwarding deemed not feasible.  Microsoft working on multi-tenant management solutions to be released in 2023_x000a_12-APR-2023 Awaiting Microsoft Multi-tenant solution_x000a_22-MAY-2023 - Domain consolidation project proposed to reduce number of domains and security tools used_x000a_04-JUL-2023 - Domain consolidation project scoping underway_x000a_04-OCT-2023 - Domain consolidation project manager assigned and planning underway_x000a_07-DEC-2023 - Domain consolidation planning underway_x000a_06-MAR-2024 - Domain consolidation project proposal under development"/>
  </r>
  <r>
    <s v="IS-22-021"/>
    <s v="3rd party software vulnerability facilitates successful breach"/>
    <s v="Threat/Vuln Mgt"/>
    <s v="3rd party software (e.g. Chrome, Adobe) is not centrally managed"/>
    <s v="Vulnerabilities in 3rd party software are often exploited by attackers to gain a foothold in an organisation."/>
    <x v="0"/>
    <s v="Hugh McDonnell"/>
    <s v="Introduce patching process as part of vulnerability management to automate patching as much as possible.  Acquire resource to maintain systems, including patch application"/>
    <s v="Neville John"/>
    <s v="Operational Risk"/>
    <s v="To be implemented"/>
    <n v="2"/>
    <n v="3"/>
    <n v="6"/>
    <s v="Low"/>
    <n v="2"/>
    <n v="3"/>
    <n v="6"/>
    <x v="3"/>
    <s v="Mitigate"/>
    <s v="Discussing Patch my PC patching module which should be able to handle 3rd party patching"/>
    <s v="Scans for each division in place and monthly reporting of vulnerabilities set up."/>
    <s v="28-JUL-2022  - Patch my PC POC to take place in Sept_x000a_07-SEP-2022 To be looked at once Qualys rollout is complete_x000a_05-OCT-2022 - awaiting date for POC for PatchMyPC_x000a_02-NOV-2022 - PatchMyPC POC underway_x000a_07-DEC-2022 PatchMyPC in production, to roll out cert to all endpoints and configure patching for 3rd party software packages_x000a_18-JAN-2023 PatchMyPC rolling out AnyConnect, Chrome.  To add more packages - Adobe_x000a_24-MAY-2023 Ger to move into role next month and to expand with Nick_x000a_12-APR-2023  PatchMyPC rolling out AnyConnect, Chrome.  To add more packages_x000a_23-FEB-2023 - To get update on Patchmypc progress_x000a_04-JUL-2023 PatchMyPC updating some applications, to be rolled out for more applications_x000a_06-MAR-2024 - PatchMyPC in place_x000a_04-OCT-2023 - IT Infrastructure specialist onboarded and will be overhauling patch deployment process_x000a_06-DEC-2023 - Monthly patching being carried out, more packages to be added to PatchMyPC_x000a_07-FEB-2024 - More software to be added to PatchMyPC_x000a_03-APR-2024 - more packages being added to PatchMyPC"/>
  </r>
  <r>
    <s v="IS-22-022"/>
    <s v="Uniphar Group unprotected sensitive data is leaked due to lack of data classification."/>
    <s v="Data Protection"/>
    <s v="Data is not routinely classified and protected according to risk."/>
    <s v="Not having data classification means that technical controls such as encryption of sensitive data cannot be employed.  Data is at risk of accidental or deliberate exposure when sent outside the organisation."/>
    <x v="0"/>
    <s v="Hugh McDonnell"/>
    <s v="Produce data classification policy.  Set up data classification policy and protections in Azure Information Protection."/>
    <s v="Robert Early"/>
    <s v="Legal &amp; Regulatory"/>
    <s v="To be implemented"/>
    <n v="2"/>
    <n v="3"/>
    <n v="6"/>
    <s v="Low"/>
    <n v="2"/>
    <n v="3"/>
    <n v="6"/>
    <x v="3"/>
    <s v="Mitigate"/>
    <s v="Draft data classification policy produced.  Discussing upgrading to unified labelling with Ergo"/>
    <s v="Data classification policy implemented and AIP in place."/>
    <s v="28-JUL-2022  - Business case approved for Microsoft Purview pilot, awaiting PO_x000a_07-SEP-2022 Ergo implemented pilot policy and is now under testing.  Will roll out to further test users_x000a_05-OCT-2022 Pilot ongoing and have added HR and Finance users from Group_x000a_02-NOV-2022 - Pilot running_x000a_07-DEC-2022 Pilot Running_x000a_18-JAN-2023 Pilot Running_x000a_24-MAY-2023 On hold pending business need_x000a_07-DEC-2023 - No Update_x000a_12-APR-2023  Pilot Running_x000a_04-JUL-2023 - On hold pending business need_x000a_04-OCT-2023 - On hold pending business need_x000a_06-MAR-2024 - No Update"/>
  </r>
  <r>
    <s v="IS-23-004"/>
    <s v="Attacker could use stolen credentials launch attack via VPN"/>
    <s v="IAM"/>
    <s v="Legacy RADIUS authentication for vendors still allows single-factor authentication"/>
    <s v="An attacker that uses a proxy to spoof an Irish IP address and has stolen credentials could log on to the VPN and attack the internal network"/>
    <x v="0"/>
    <s v="Hugh McDonnell"/>
    <s v="Geo IP blocking restricts access to Ireland Ips which reduces risk, however vendors must be moved onto Multi-Factor Authentication"/>
    <s v="Neville John"/>
    <s v="Legal &amp; Regulatory"/>
    <s v="To be implemented"/>
    <n v="5"/>
    <n v="4"/>
    <n v="20"/>
    <s v="High"/>
    <n v="5"/>
    <n v="1"/>
    <n v="5"/>
    <x v="3"/>
    <s v="Mitigate"/>
    <s v="Assign individual accounts, migrate users to Azure AD or VDI and shut down legacy single factor auth"/>
    <s v="Check configuration on ASA VPN"/>
    <s v="04-OCT-2023 - 3rd party vendors using RADIUS profile which allows single factor auth_x000a_06-DEC-2023 - Users moved off RADIUS profile, awaiting service shutdown_x000a_07-FEB-2024 - Break glass account to be set up on Firewall for emergency access_x000a_06-MAR-2024 - No Update_x000a_03-APR-2024 - Issue with having break glass account - Radius still in place"/>
  </r>
  <r>
    <s v="IS-22-039"/>
    <s v="An attacker could execute an attack before we would have time to respond"/>
    <s v="Threat/Vuln Mgt"/>
    <s v="We have 24x7 alerting with Barracuda Skout but the service does not include incident response"/>
    <s v="Time from initial compromise to ransomware lockdown is down to 90 minutes and is typically launched outside of office hours. Our ability to respond and contain ransomware is limited."/>
    <x v="0"/>
    <s v="Hugh McDonnell"/>
    <s v="Investigate Skout alternatives that have Incident Response capabilities included before renewal in Feb 2023"/>
    <s v="Robert Early"/>
    <s v="Operational Risk"/>
    <s v="To be implemented"/>
    <n v="4"/>
    <n v="4"/>
    <n v="16"/>
    <s v="Med-High"/>
    <n v="4"/>
    <n v="1"/>
    <n v="4"/>
    <x v="3"/>
    <s v="Mitigate"/>
    <s v=" Threatscape/SecurityHQ  MDR approved, awaiting resources to implement"/>
    <s v="Verify that solution sees potential attacks and mitigating actions taken"/>
    <s v="19-OCT-2022 - Business case submitted for approval_x000a_02-NOV-2022 - Business case with Hugh for approval_x000a_18-JAN-2023 - PO Approved, Project kicked off but rollout on hold until resources available_x000a_12-APR-2023 - On hold until resources available_x000a_24-MAY-2023 - On hold until resources available_x000a_04-JUL-2023 - Work to commence later this month_x000a_02-AUG-2023 - Planning commenced and Event Collector being set up in Azure_x000a_04-OCT-2023 - Azure not viable for event collector, on site collector installed and awaiting VPN to be configured_x000a_07-DEC-2023 - System now live with most feeds, to add remaining feeds from AIX and Azure_x000a_06-MAR-2024 - AIX and Azure Sentinel being configured"/>
  </r>
  <r>
    <s v="IS-22-027"/>
    <s v="VPN from 3rd party could be used to launch an attack on our systems"/>
    <s v="Network Sec"/>
    <s v="3rd parties such as Deloitte and Kyndryl connect to our network using VPN."/>
    <s v="If a 3rd party suffers a breach, the VPN could be used to launch an attack on our systems"/>
    <x v="0"/>
    <s v="Hugh McDonnell"/>
    <s v="Set up 3rd party access on separate VLAN and restrict access through internal firewall. Switch to virtual desktop where possible."/>
    <s v="Neville John"/>
    <s v="Operational Risk"/>
    <s v="To be implemented"/>
    <n v="4"/>
    <n v="1"/>
    <n v="4"/>
    <s v="Low"/>
    <n v="4"/>
    <n v="1"/>
    <n v="4"/>
    <x v="3"/>
    <s v="Mitigate"/>
    <s v="To be addressed as part of the network segmentation workstream (IS-22-003)"/>
    <s v="Network scan 3rd party network to verify no connection to corporate network."/>
    <s v="See IS-22-003 - Segmentation Risk_x000a_06-DEC-2023 - Jump servers being created for Kyndryl and Ergo in VDI.  Deloitte to be considered._x000a_07-FEB-2024 - Ergo complete, Kyndryl still outstanding.  To be discussed with Piotr_x000a_06-MAR-2024 - No Update"/>
  </r>
  <r>
    <s v="IS-22-026"/>
    <s v="Lack of visibility in security monitoring allows attack to go unnoticed."/>
    <s v="Sec Operations"/>
    <s v="Unix systems are not covered by Skout"/>
    <s v="Some of the most critical business systems are not visible to SIEM, reducing it's effectiveness as an alerting tool."/>
    <x v="0"/>
    <s v="Hugh McDonnell"/>
    <s v="Work with SIEM provider to include missing platforms"/>
    <s v="Piotr Wojdowski"/>
    <s v="Operational Risk"/>
    <s v="To be implemented"/>
    <n v="4"/>
    <n v="1"/>
    <n v="4"/>
    <s v="Low"/>
    <n v="4"/>
    <n v="1"/>
    <n v="4"/>
    <x v="3"/>
    <s v="Mitigate"/>
    <s v="SecurityHQ will be deployed when resources become available.  To investigate streaming logs to SecurityHQ when in place"/>
    <s v="Verify additional servers' logs are present in SIEM system."/>
    <s v="06-AUG-2022 Skout platform cannot accept AIX logs. May need to augment or replace platform to extend to unsupported platforms._x000a_07-SEP-2022 In discussions with Threatscape as potential solution_x000a_05-OCT-2022 Threatscape business case being developed_x000a_02-NOV-2022 Business case with Hugh for approval_x000a_18-JAN-2023 MDR project kicked off but rollout on hold until resources become available_x000a_12-APR-2023  On hold pending resource availability_x000a_22-MAY-2023 No Update_x000a_04-JUL-2023 - Resource commenced in July, will work on SecurityHQ rollout once Crowdstrike rollout complete_x000a_03-OCT-2023 - Event Collector installed locally, awaiting VPN setup_x000a_07-DEC-2023 - Dev AIX boxes being configured to forward logs to test, will follow with production in Jan_x000a_03-JAN-2024 - Piotr spoke with Kyndryl - will have one of the test systems connected next week_x000a_06-MAR-2024 - Several dev boxes forwarding to SHQ, to follow with remainder of dev boxes and then production.  Azure Sentinel being configured to forward logs_x000a_03-APR-2024 - Syslog forwarded for some AIX host - to confirm all hosts that are forwarded"/>
  </r>
  <r>
    <s v="IS-22-029"/>
    <s v="Employee use of BYOD could lead to a data breach."/>
    <s v="Asset Mgt"/>
    <s v="No policy for BYOD access to corporate resources"/>
    <s v="Employees may not be aware of their obligations to treat data appropriately and safely when using personal devices to access corporate data."/>
    <x v="0"/>
    <s v="Hugh McDonnell"/>
    <s v="Develop standalone BYOD Policy.  Distribute as training for BYOD users and track acceptance.  Set up annual re-acceptance."/>
    <s v="Robert Early"/>
    <s v="Legal &amp; Regulatory"/>
    <s v="Quarterly"/>
    <n v="3"/>
    <n v="3"/>
    <n v="9"/>
    <s v="Medium"/>
    <n v="1"/>
    <n v="3"/>
    <n v="3"/>
    <x v="3"/>
    <s v="Mitigate"/>
    <s v="BYOD Policy published and distributed.  Further alignment to take place to take place as part of domain consolidation"/>
    <s v="BYOD policy produced and communicated.  Annual re-acceptance set up.  Audit acceptance records."/>
    <s v="05-AUG-2022  - BYOD policy approved and socialised with HR.  To be set up in Workday for mandatory read and accept._x000a_07-SEP-2022 Meeting with HR 8th of Sept to discuss rollout_x000a_07 OCT Policy approved and being distributed_x000a_02-NOV-2022 Policy in place.   Annual re-acceptance to be set up_x000a_18-JAN-2023 Policy in place.   Annual re-acceptance to be set up_x000a_12-APR-2023  Policy in place.   Annual re-acceptance to be set up_x000a_22-MAY-2023  Policy in place.   Annual re-acceptance to be set up_x000a_04-JUL-2023 - Policy in place.   Annual re-acceptance to be set up_x000a_04-OCT-2023 - Policy in place.   Annual re-acceptance to be set up_x000a_07-DEC-2023 - Policy in place.   Annual re-acceptance to be set up_x000a_06-MAR-2024 -No Update"/>
  </r>
  <r>
    <s v="IS-22-025"/>
    <s v="Lack of user understanding of appropriate behaviour causes breach."/>
    <s v="Governance"/>
    <s v="Acceptable usage appears in employee handbook but acceptance is not tracked separately or accepted at regular intervals."/>
    <s v="Employees may not be aware of their obligations to treat data and equipment appropriately and safely."/>
    <x v="0"/>
    <s v="Hugh McDonnell"/>
    <s v="Develop standalone Acceptable Usage Policy.  Distribute as training and track acceptance.  Set up annual re-acceptance."/>
    <s v="Robert Early"/>
    <s v="Legal &amp; Regulatory"/>
    <s v="Quarterly"/>
    <n v="2"/>
    <n v="3"/>
    <n v="6"/>
    <s v="Low"/>
    <n v="2"/>
    <n v="1"/>
    <n v="2"/>
    <x v="3"/>
    <s v="Mitigate"/>
    <s v="AUP published.  Annual re-acceptance to be set up."/>
    <s v="AUP policy produced and communicated.  Annual re-acceptance set up.  Audit acceptance records."/>
    <s v="06-AUG-2022 AUP policy signed off and initial distribution through Privacy engine has commenced. training to be carried out through Workday once platform available._x000a_07-SEP-2022 AUP/BYOD policy rollout to be discussed with HR 08th SEP_x000a_05-OCT-2022 AUP/BYOD policies approved, being distributed_x000a_02-NOV-2022 policies distributed, annual re-acceptance to be set up_x000a_18-JAN-2023 Annual re-acceptance to be set up_x000a_12-APR-2023 Annual re-acceptance to be set up _x000a_22-MAY-2023 Annual re-acceptance to be set up _x000a_04-JUL-2023 - Annual re-acceptance to be set up _x000a_04-OCT-2023 - Policy in place.   Annual re-acceptance to be set up_x000a_06-MAR-2024 - Annual re-acceptance to be set up "/>
  </r>
  <r>
    <s v="IS-22-034"/>
    <s v="An attacker could modify the Uniphar Website"/>
    <s v="IAM"/>
    <s v="The Management interface for the Uniphar website does not support multi-factor authentication"/>
    <s v="Stolen credentials could be used to log in to the administration interface of the Uniphar website and deface the website."/>
    <x v="0"/>
    <s v="Allan Smylie"/>
    <s v="Granite manage the Website hosting and have advised that the next release of the software should support MFA. "/>
    <s v="Robert Early"/>
    <s v="Operational Risk"/>
    <s v="Quarterly"/>
    <n v="2"/>
    <n v="3"/>
    <n v="6"/>
    <s v="Low"/>
    <n v="2"/>
    <n v="1"/>
    <n v="2"/>
    <x v="3"/>
    <s v="Mitigate"/>
    <s v="MFA not supported in current release, awaiting new release to support."/>
    <s v="Granite to confirm MFA is in place"/>
    <s v="06-AUG-2022 MFA is not supported in current version of the platform, but is on the roadmap._x000a_07-SEP-2022 No further update_x000a_05-OCT-2022 - Granite have restricted to Uniphar IP, reducing risk_x000a_02-NOV-2022 No update_x000a_07-DEC-2022 No update_x000a_18-JAN-2023 No update_x000a_12-APR-2023 No Update_x000a_22-MAY-2023 No Update_x000a_04-JUL-2023 No Update_x000a_06-MAR-2024 - No Update"/>
  </r>
  <r>
    <s v="IS-22-037"/>
    <s v="An attacker could use privileges granted to an application"/>
    <s v="IAM"/>
    <s v="Win automation unsupported and requires admin rights"/>
    <s v="An attacker could steal an app password and use it to log into the affected application, bypassing MFA"/>
    <x v="0"/>
    <s v="David O'Brien"/>
    <s v="Win automation to be migrated to be migrated over to UiPath RPA"/>
    <s v="Operations"/>
    <s v="Operational Risk"/>
    <s v="To be implemented"/>
    <n v="2"/>
    <n v="1"/>
    <n v="2"/>
    <s v="Low"/>
    <n v="2"/>
    <n v="1"/>
    <n v="2"/>
    <x v="3"/>
    <s v="Mitigate"/>
    <m/>
    <m/>
    <s v="05-OCT-2022 - No plans for migration as yet_x000a_07-DEC-2022 No update_x000a_18-JAN-2023 No update_x000a_12-APR-2023 No Update_x000a_22-MAY-2023 No Update_x000a_04-JUL-2023 No Update_x000a_04-OCT-2023 No Update_x000a_06-MAR-2024 - No Update"/>
  </r>
  <r>
    <s v="IS-22-044"/>
    <s v="An attacker on the network could discover FTP credentials"/>
    <s v="Host Sec"/>
    <s v="Non-secure FTP is in use on AIX, on the internal network. Kyndryl Risk ID 10223"/>
    <s v="An attacker on the internal network could sniff user credentials, however it is not exposed to the internet."/>
    <x v="0"/>
    <s v="Hugh McDonnell"/>
    <s v="Replace FTP with a secure file transfer protocol"/>
    <s v="Piotr Wojdowski"/>
    <s v="Operational Risk"/>
    <s v="To be implemented"/>
    <n v="2"/>
    <n v="1"/>
    <n v="2"/>
    <s v="Low"/>
    <n v="2"/>
    <n v="1"/>
    <n v="2"/>
    <x v="3"/>
    <s v="Mitigate"/>
    <s v="Requires migration from old dependencies first"/>
    <s v="Check FTP is not enabled"/>
    <s v="18-JAN-2023 Used only for communicating with IWACS. TGW to update application_x000a_12-APR-2023 - To be updated_x000a_24-MAY-2023 - No change, Piotr to follow up with TGW_x000a_06-DEC-2023 - Piotr to follow up with Devops to replace_x000a_03-JAN-2024 - Piotr to follow up with TGW_x000a_06-MAR-2024 -No Update_x000a_03-APR-2024 - No Update"/>
  </r>
  <r>
    <s v="IS-24-007"/>
    <s v="An attacker can gain a foothold on an unmanaged device"/>
    <s v="Host Sec"/>
    <s v="Allcare and Hickeys to not have device management, increasing the likelihood of missed patches and misuse of devices"/>
    <s v="Unmanaged devices can be leveraged by an attacker for initial access"/>
    <x v="1"/>
    <s v="Louise Martin"/>
    <s v="Deploy device management"/>
    <s v=" Gareth Reilly"/>
    <s v="Operational Risk"/>
    <s v="To be implemented"/>
    <n v="2"/>
    <n v="1"/>
    <n v="2"/>
    <s v="Low"/>
    <n v="2"/>
    <n v="1"/>
    <n v="2"/>
    <x v="3"/>
    <s v="Mitigate"/>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21:N22" firstHeaderRow="1" firstDataRow="1" firstDataCol="0"/>
  <pivotFields count="23">
    <pivotField dataField="1"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Risks by Month" cacheId="0" applyNumberFormats="0" applyBorderFormats="0" applyFontFormats="0" applyPatternFormats="0" applyAlignmentFormats="0" applyWidthHeightFormats="1" dataCaption="Values" updatedVersion="8" minRefreshableVersion="3" showDrill="0" useAutoFormatting="1" itemPrintTitles="1" createdVersion="6" indent="0" showHeaders="0" outline="1" outlineData="1" multipleFieldFilters="0" chartFormat="43">
  <location ref="F2:K22" firstHeaderRow="1" firstDataRow="2" firstDataCol="1"/>
  <pivotFields count="3">
    <pivotField axis="axisRow" numFmtId="17" showAll="0">
      <items count="19">
        <item x="0"/>
        <item x="1"/>
        <item x="2"/>
        <item x="3"/>
        <item x="4"/>
        <item x="5"/>
        <item x="6"/>
        <item x="7"/>
        <item x="8"/>
        <item x="9"/>
        <item x="10"/>
        <item x="11"/>
        <item x="12"/>
        <item x="13"/>
        <item x="14"/>
        <item x="15"/>
        <item x="16"/>
        <item x="17"/>
        <item t="default"/>
      </items>
    </pivotField>
    <pivotField axis="axisCol" showAll="0">
      <items count="5">
        <item x="3"/>
        <item x="2"/>
        <item x="1"/>
        <item x="0"/>
        <item t="default"/>
      </items>
    </pivotField>
    <pivotField dataField="1"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1"/>
  </colFields>
  <colItems count="5">
    <i>
      <x/>
    </i>
    <i>
      <x v="1"/>
    </i>
    <i>
      <x v="2"/>
    </i>
    <i>
      <x v="3"/>
    </i>
    <i t="grand">
      <x/>
    </i>
  </colItems>
  <dataFields count="1">
    <dataField name="Sum of Number" fld="2" baseField="0" baseItem="0"/>
  </dataFields>
  <chartFormats count="16">
    <chartFormat chart="1" format="36" series="1">
      <pivotArea type="data" outline="0" fieldPosition="0">
        <references count="2">
          <reference field="4294967294" count="1" selected="0">
            <x v="0"/>
          </reference>
          <reference field="1" count="1" selected="0">
            <x v="3"/>
          </reference>
        </references>
      </pivotArea>
    </chartFormat>
    <chartFormat chart="1" format="37" series="1">
      <pivotArea type="data" outline="0" fieldPosition="0">
        <references count="2">
          <reference field="4294967294" count="1" selected="0">
            <x v="0"/>
          </reference>
          <reference field="1" count="1" selected="0">
            <x v="1"/>
          </reference>
        </references>
      </pivotArea>
    </chartFormat>
    <chartFormat chart="1" format="38" series="1">
      <pivotArea type="data" outline="0" fieldPosition="0">
        <references count="2">
          <reference field="4294967294" count="1" selected="0">
            <x v="0"/>
          </reference>
          <reference field="1" count="1" selected="0">
            <x v="0"/>
          </reference>
        </references>
      </pivotArea>
    </chartFormat>
    <chartFormat chart="1" format="40" series="1">
      <pivotArea type="data" outline="0" fieldPosition="0">
        <references count="2">
          <reference field="4294967294" count="1" selected="0">
            <x v="0"/>
          </reference>
          <reference field="1" count="1" selected="0">
            <x v="2"/>
          </reference>
        </references>
      </pivotArea>
    </chartFormat>
    <chartFormat chart="11" format="42" series="1">
      <pivotArea type="data" outline="0" fieldPosition="0">
        <references count="2">
          <reference field="4294967294" count="1" selected="0">
            <x v="0"/>
          </reference>
          <reference field="1" count="1" selected="0">
            <x v="0"/>
          </reference>
        </references>
      </pivotArea>
    </chartFormat>
    <chartFormat chart="11" format="43" series="1">
      <pivotArea type="data" outline="0" fieldPosition="0">
        <references count="2">
          <reference field="4294967294" count="1" selected="0">
            <x v="0"/>
          </reference>
          <reference field="1" count="1" selected="0">
            <x v="1"/>
          </reference>
        </references>
      </pivotArea>
    </chartFormat>
    <chartFormat chart="11" format="44" series="1">
      <pivotArea type="data" outline="0" fieldPosition="0">
        <references count="2">
          <reference field="4294967294" count="1" selected="0">
            <x v="0"/>
          </reference>
          <reference field="1" count="1" selected="0">
            <x v="2"/>
          </reference>
        </references>
      </pivotArea>
    </chartFormat>
    <chartFormat chart="11" format="45" series="1">
      <pivotArea type="data" outline="0" fieldPosition="0">
        <references count="2">
          <reference field="4294967294" count="1" selected="0">
            <x v="0"/>
          </reference>
          <reference field="1" count="1" selected="0">
            <x v="3"/>
          </reference>
        </references>
      </pivotArea>
    </chartFormat>
    <chartFormat chart="18" format="42" series="1">
      <pivotArea type="data" outline="0" fieldPosition="0">
        <references count="2">
          <reference field="4294967294" count="1" selected="0">
            <x v="0"/>
          </reference>
          <reference field="1" count="1" selected="0">
            <x v="0"/>
          </reference>
        </references>
      </pivotArea>
    </chartFormat>
    <chartFormat chart="18" format="43" series="1">
      <pivotArea type="data" outline="0" fieldPosition="0">
        <references count="2">
          <reference field="4294967294" count="1" selected="0">
            <x v="0"/>
          </reference>
          <reference field="1" count="1" selected="0">
            <x v="1"/>
          </reference>
        </references>
      </pivotArea>
    </chartFormat>
    <chartFormat chart="18" format="44" series="1">
      <pivotArea type="data" outline="0" fieldPosition="0">
        <references count="2">
          <reference field="4294967294" count="1" selected="0">
            <x v="0"/>
          </reference>
          <reference field="1" count="1" selected="0">
            <x v="2"/>
          </reference>
        </references>
      </pivotArea>
    </chartFormat>
    <chartFormat chart="18" format="45" series="1">
      <pivotArea type="data" outline="0" fieldPosition="0">
        <references count="2">
          <reference field="4294967294" count="1" selected="0">
            <x v="0"/>
          </reference>
          <reference field="1" count="1" selected="0">
            <x v="3"/>
          </reference>
        </references>
      </pivotArea>
    </chartFormat>
    <chartFormat chart="19" format="46" series="1">
      <pivotArea type="data" outline="0" fieldPosition="0">
        <references count="2">
          <reference field="4294967294" count="1" selected="0">
            <x v="0"/>
          </reference>
          <reference field="1" count="1" selected="0">
            <x v="0"/>
          </reference>
        </references>
      </pivotArea>
    </chartFormat>
    <chartFormat chart="19" format="47" series="1">
      <pivotArea type="data" outline="0" fieldPosition="0">
        <references count="2">
          <reference field="4294967294" count="1" selected="0">
            <x v="0"/>
          </reference>
          <reference field="1" count="1" selected="0">
            <x v="1"/>
          </reference>
        </references>
      </pivotArea>
    </chartFormat>
    <chartFormat chart="19" format="48" series="1">
      <pivotArea type="data" outline="0" fieldPosition="0">
        <references count="2">
          <reference field="4294967294" count="1" selected="0">
            <x v="0"/>
          </reference>
          <reference field="1" count="1" selected="0">
            <x v="2"/>
          </reference>
        </references>
      </pivotArea>
    </chartFormat>
    <chartFormat chart="19" format="4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chartFormat="4">
  <location ref="U2:V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0"/>
        <item x="1"/>
        <item x="2"/>
        <item x="3"/>
        <item m="1" x="4"/>
        <item m="1" x="5"/>
        <item t="default"/>
      </items>
    </pivotField>
    <pivotField showAll="0"/>
    <pivotField showAll="0"/>
    <pivotField showAll="0"/>
    <pivotField showAll="0"/>
  </pivotFields>
  <rowFields count="1">
    <field x="18"/>
  </rowFields>
  <rowItems count="5">
    <i>
      <x/>
    </i>
    <i>
      <x v="1"/>
    </i>
    <i>
      <x v="2"/>
    </i>
    <i>
      <x v="3"/>
    </i>
    <i t="grand">
      <x/>
    </i>
  </rowItems>
  <colItems count="1">
    <i/>
  </colItems>
  <dataFields count="1">
    <dataField name="Count of (B x C)" fld="17" subtotal="count" baseField="18" baseItem="2"/>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Risk by Area Pivot" cacheId="1"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9" rowHeaderCaption="Risk Area">
  <location ref="N2:P19"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4">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RiskTable" displayName="RiskTable" ref="A2:W51" totalsRowShown="0" headerRowDxfId="237" headerRowBorderDxfId="236" tableBorderDxfId="235">
  <autoFilter ref="A2:W51"/>
  <tableColumns count="23">
    <tableColumn id="1" name="#" dataDxfId="234"/>
    <tableColumn id="2" name="Risk Name" dataDxfId="233"/>
    <tableColumn id="13" name="Risk Sub Category" dataDxfId="232"/>
    <tableColumn id="3" name="Risk Description" dataDxfId="231"/>
    <tableColumn id="4" name="Effect" dataDxfId="230"/>
    <tableColumn id="10" name="Applicable Divisions" dataDxfId="229"/>
    <tableColumn id="18" name="Risk Owner" dataDxfId="228"/>
    <tableColumn id="24" name="Mitigation Control / Actions" dataDxfId="227"/>
    <tableColumn id="23" name="Control Owner" dataDxfId="226"/>
    <tableColumn id="19" name="Basis for Inherent Risk Assessment" dataDxfId="225"/>
    <tableColumn id="20" name="Status of Control Actions" dataDxfId="224"/>
    <tableColumn id="5" name="(A)_x000a_Inherent_x000a_Impact_x000a_(Pre_x000a_Controls)" dataDxfId="223"/>
    <tableColumn id="6" name="(C)_x000a_Likelihood" dataDxfId="222"/>
    <tableColumn id="14" name="(A x C)_x000a_Inherent_x000a_Score" dataDxfId="221">
      <calculatedColumnFormula>RiskTable[[#This Row],[(A)
Inherent
Impact
(Pre
Controls)]]*RiskTable[[#This Row],[(C)
Likelihood]]</calculatedColumnFormula>
    </tableColumn>
    <tableColumn id="7" name="Inherent Risk Rating" dataDxfId="220">
      <calculatedColumnFormula>INDEX('Rating Tables'!$D$7:$I$12,MATCH('Treated Risks'!L24,'Rating Tables'!$D$7:$D$12,0),MATCH('Treated Risks'!M24,'Rating Tables'!$D$7:$I$7,0))</calculatedColumnFormula>
    </tableColumn>
    <tableColumn id="21" name="(B)_x000a_Residual_x000a_Impact_x000a_(Post_x000a_Controls)" dataDxfId="219"/>
    <tableColumn id="25" name="(C)_x000a_Likelihood2" dataDxfId="218"/>
    <tableColumn id="22" name="(B x C)_x000a_Residual_x000a_Score" dataDxfId="217">
      <calculatedColumnFormula>RiskTable[[#This Row],[(B)
Residual
Impact
(Post
Controls)]]*RiskTable[[#This Row],[(C)
Likelihood2]]</calculatedColumnFormula>
    </tableColumn>
    <tableColumn id="26" name="Residual Risk Rating" dataDxfId="216">
      <calculatedColumnFormula>INDEX('Rating Tables'!$D$7:$I$12,MATCH('Treated Risks'!P24,'Rating Tables'!$D$7:$D$12,0),MATCH('Treated Risks'!Q24,'Rating Tables'!$D$7:$I$7,0))</calculatedColumnFormula>
    </tableColumn>
    <tableColumn id="8" name="Treatment" dataDxfId="215"/>
    <tableColumn id="9" name="Treatment Plan" dataDxfId="214"/>
    <tableColumn id="15" name="Verification" dataDxfId="213"/>
    <tableColumn id="12" name="Interval or Milestone Check" dataDxfId="212"/>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18" dT="2022-12-07T15:24:41.16" personId="{00000000-0000-0000-0000-000000000000}" id="{788AA006-C50E-49BD-80D5-AB4DAD08FD5A}">
    <text>[Mention was removed] Any update on this risk?</text>
  </threadedComment>
  <threadedComment ref="V19" dT="2023-05-25T14:57:20.74" personId="{00000000-0000-0000-0000-000000000000}" id="{50B0CE65-1516-4AED-A2E1-C97D28DF1F1A}">
    <text>[Mention was removed] - what's the current status of USB protection?  Is this now in place?</text>
  </threadedComment>
  <threadedComment ref="V19" dT="2023-06-07T09:44:47.07" personId="{00000000-0000-0000-0000-000000000000}" id="{70268429-DCC8-4F73-BADD-D657B435652B}" parentId="{50B0CE65-1516-4AED-A2E1-C97D28DF1F1A}">
    <text xml:space="preserve">Hi Robert, yes this is in place for Durbin UK via Crowdstrike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microsoft.com/office/2017/10/relationships/threadedComment" Target="../threadedComments/threadedComment1.xml"/><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6.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6"/>
  <sheetViews>
    <sheetView showGridLines="0" tabSelected="1" zoomScaleNormal="100" workbookViewId="0">
      <selection activeCell="B22" sqref="B22"/>
    </sheetView>
  </sheetViews>
  <sheetFormatPr defaultRowHeight="13.2" x14ac:dyDescent="0.25"/>
  <cols>
    <col min="2" max="2" width="15.21875" bestFit="1" customWidth="1"/>
    <col min="3" max="3" width="10.21875" bestFit="1" customWidth="1"/>
  </cols>
  <sheetData>
    <row r="1" spans="2:14" ht="32.1" customHeight="1" thickBot="1" x14ac:dyDescent="0.45">
      <c r="B1" s="154" t="s">
        <v>0</v>
      </c>
      <c r="C1" s="154"/>
      <c r="D1" s="154"/>
      <c r="E1" s="154"/>
      <c r="F1" s="154"/>
      <c r="G1" s="154"/>
      <c r="H1" s="154"/>
      <c r="I1" s="154"/>
      <c r="J1" s="154"/>
      <c r="K1" s="154"/>
      <c r="L1" s="154"/>
      <c r="M1" s="154"/>
      <c r="N1" s="154"/>
    </row>
    <row r="2" spans="2:14" ht="13.8" thickTop="1" x14ac:dyDescent="0.25"/>
    <row r="16" spans="2:14" x14ac:dyDescent="0.25">
      <c r="D16" s="41"/>
      <c r="E16" s="41"/>
      <c r="F16" s="41"/>
      <c r="G16" s="41"/>
      <c r="H16" s="41"/>
      <c r="I16" s="41"/>
      <c r="J16" s="41"/>
      <c r="K16" s="41"/>
      <c r="L16" s="41"/>
    </row>
  </sheetData>
  <mergeCells count="1">
    <mergeCell ref="B1:N1"/>
  </mergeCells>
  <pageMargins left="0.7" right="0.7" top="0.75" bottom="0.75" header="0.3" footer="0.3"/>
  <pageSetup paperSize="9" orientation="portrait" r:id="rId1"/>
  <headerFooter>
    <oddHeader>&amp;L&amp;"Calibri"&amp;10&amp;K000000 Uniphar Classification: Confidential&amp;1#_x000D_</oddHeader>
    <oddFooter>&amp;L_x000D_&amp;1#&amp;"Calibri"&amp;10&amp;K000000 Uniphar Classification: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05"/>
  <sheetViews>
    <sheetView zoomScale="90" zoomScaleNormal="90" workbookViewId="0">
      <pane xSplit="2" ySplit="2" topLeftCell="O3" activePane="bottomRight" state="frozen"/>
      <selection pane="topRight" activeCell="C1" sqref="C1"/>
      <selection pane="bottomLeft" activeCell="A3" sqref="A3"/>
      <selection pane="bottomRight" activeCell="W3" sqref="W3"/>
    </sheetView>
  </sheetViews>
  <sheetFormatPr defaultRowHeight="66" customHeight="1" x14ac:dyDescent="0.25"/>
  <cols>
    <col min="1" max="1" width="9.77734375" bestFit="1" customWidth="1"/>
    <col min="2" max="2" width="26.44140625" customWidth="1"/>
    <col min="3" max="3" width="10.77734375" customWidth="1"/>
    <col min="4" max="4" width="35.44140625" style="3" customWidth="1"/>
    <col min="5" max="5" width="53.44140625" customWidth="1"/>
    <col min="6" max="6" width="18.21875" customWidth="1"/>
    <col min="7" max="7" width="16.21875" customWidth="1"/>
    <col min="8" max="8" width="45.5546875" customWidth="1"/>
    <col min="9" max="9" width="18.77734375" bestFit="1" customWidth="1"/>
    <col min="10" max="10" width="16.21875" customWidth="1"/>
    <col min="11" max="11" width="14.77734375" customWidth="1"/>
    <col min="12" max="12" width="9.5546875" customWidth="1"/>
    <col min="13" max="13" width="8.44140625" customWidth="1"/>
    <col min="14" max="14" width="9" customWidth="1"/>
    <col min="15" max="15" width="13.21875" customWidth="1"/>
    <col min="16" max="16" width="10.5546875" customWidth="1"/>
    <col min="17" max="17" width="8.44140625" customWidth="1"/>
    <col min="18" max="18" width="10.5546875" customWidth="1"/>
    <col min="19" max="19" width="13.21875" customWidth="1"/>
    <col min="20" max="20" width="11.77734375" customWidth="1"/>
    <col min="21" max="21" width="32.5546875" bestFit="1" customWidth="1"/>
    <col min="22" max="22" width="23.21875" customWidth="1"/>
    <col min="23" max="23" width="23.44140625" bestFit="1" customWidth="1"/>
    <col min="24" max="24" width="34.44140625" customWidth="1"/>
    <col min="25" max="25" width="23.77734375" bestFit="1" customWidth="1"/>
    <col min="26" max="26" width="14.5546875" customWidth="1"/>
  </cols>
  <sheetData>
    <row r="1" spans="1:23" ht="66" customHeight="1" x14ac:dyDescent="0.25">
      <c r="A1" s="155" t="s">
        <v>1</v>
      </c>
      <c r="B1" s="156"/>
      <c r="C1" s="156"/>
      <c r="D1" s="156"/>
      <c r="E1" s="156"/>
      <c r="F1" s="156"/>
      <c r="G1" s="156"/>
      <c r="H1" s="156"/>
      <c r="I1" s="156"/>
      <c r="J1" s="156"/>
      <c r="K1" s="156"/>
      <c r="L1" s="74" t="s">
        <v>2</v>
      </c>
      <c r="M1" s="74"/>
      <c r="N1" s="74"/>
      <c r="O1" s="74"/>
      <c r="P1" s="74"/>
      <c r="Q1" s="74"/>
      <c r="R1" s="74"/>
      <c r="S1" s="74"/>
      <c r="T1" s="74"/>
      <c r="U1" s="74"/>
      <c r="V1" s="157" t="s">
        <v>3</v>
      </c>
      <c r="W1" s="157"/>
    </row>
    <row r="2" spans="1:23" ht="66" customHeight="1" x14ac:dyDescent="0.25">
      <c r="A2" s="34" t="s">
        <v>4</v>
      </c>
      <c r="B2" s="1" t="s">
        <v>5</v>
      </c>
      <c r="C2" s="1" t="s">
        <v>6</v>
      </c>
      <c r="D2" s="1" t="s">
        <v>7</v>
      </c>
      <c r="E2" s="1" t="s">
        <v>8</v>
      </c>
      <c r="F2" s="1" t="s">
        <v>9</v>
      </c>
      <c r="G2" s="30" t="s">
        <v>10</v>
      </c>
      <c r="H2" s="1" t="s">
        <v>11</v>
      </c>
      <c r="I2" s="1" t="s">
        <v>12</v>
      </c>
      <c r="J2" s="30" t="s">
        <v>13</v>
      </c>
      <c r="K2" s="30" t="s">
        <v>14</v>
      </c>
      <c r="L2" s="127" t="s">
        <v>15</v>
      </c>
      <c r="M2" s="127" t="s">
        <v>16</v>
      </c>
      <c r="N2" s="127" t="s">
        <v>17</v>
      </c>
      <c r="O2" s="30" t="s">
        <v>18</v>
      </c>
      <c r="P2" s="127" t="s">
        <v>19</v>
      </c>
      <c r="Q2" s="127" t="s">
        <v>20</v>
      </c>
      <c r="R2" s="127" t="s">
        <v>21</v>
      </c>
      <c r="S2" s="30" t="s">
        <v>22</v>
      </c>
      <c r="T2" s="30" t="s">
        <v>23</v>
      </c>
      <c r="U2" s="30" t="s">
        <v>24</v>
      </c>
      <c r="V2" s="1" t="s">
        <v>25</v>
      </c>
      <c r="W2" s="35" t="s">
        <v>26</v>
      </c>
    </row>
    <row r="3" spans="1:23" s="44" customFormat="1" ht="66" customHeight="1" x14ac:dyDescent="0.25">
      <c r="A3" s="37" t="s">
        <v>32</v>
      </c>
      <c r="B3" s="5" t="s">
        <v>162</v>
      </c>
      <c r="C3" s="5" t="s">
        <v>33</v>
      </c>
      <c r="D3" s="5" t="s">
        <v>34</v>
      </c>
      <c r="E3" s="5" t="s">
        <v>35</v>
      </c>
      <c r="F3" s="5"/>
      <c r="G3" s="5"/>
      <c r="H3" s="31" t="s">
        <v>36</v>
      </c>
      <c r="I3" s="5"/>
      <c r="J3" s="5" t="s">
        <v>29</v>
      </c>
      <c r="K3" s="5" t="s">
        <v>30</v>
      </c>
      <c r="L3" s="5">
        <v>4</v>
      </c>
      <c r="M3" s="5">
        <v>5</v>
      </c>
      <c r="N3" s="32">
        <f>RiskTable[[#This Row],[(A)
Inherent
Impact
(Pre
Controls)]]*RiskTable[[#This Row],[(C)
Likelihood]]</f>
        <v>20</v>
      </c>
      <c r="O3" s="26" t="str">
        <f>INDEX('Rating Tables'!$D$7:$I$12,MATCH(L3,'Rating Tables'!$D$7:$D$12,0),MATCH(M3,'Rating Tables'!$D$7:$I$7,0))</f>
        <v>High</v>
      </c>
      <c r="P3" s="5">
        <v>5</v>
      </c>
      <c r="Q3" s="5">
        <v>5</v>
      </c>
      <c r="R3" s="32">
        <f>RiskTable[[#This Row],[(B)
Residual
Impact
(Post
Controls)]]*RiskTable[[#This Row],[(C)
Likelihood2]]</f>
        <v>25</v>
      </c>
      <c r="S3" s="26" t="str">
        <f>INDEX('Rating Tables'!$D$7:$I$12,MATCH(P3,'Rating Tables'!$D$7:$D$12,0),MATCH(Q3,'Rating Tables'!$D$7:$I$7,0))</f>
        <v>High</v>
      </c>
      <c r="T3" s="4" t="s">
        <v>31</v>
      </c>
      <c r="U3" s="81" t="s">
        <v>37</v>
      </c>
      <c r="V3" s="5" t="s">
        <v>38</v>
      </c>
      <c r="W3" s="47" t="s">
        <v>161</v>
      </c>
    </row>
    <row r="4" spans="1:23" s="45" customFormat="1" ht="66" customHeight="1" x14ac:dyDescent="0.25">
      <c r="A4" s="37"/>
      <c r="B4" s="5"/>
      <c r="C4" s="5"/>
      <c r="D4" s="5"/>
      <c r="E4" s="5"/>
      <c r="F4" s="5"/>
      <c r="G4" s="5"/>
      <c r="H4" s="31"/>
      <c r="I4" s="5"/>
      <c r="J4" s="5"/>
      <c r="K4" s="5"/>
      <c r="L4" s="5"/>
      <c r="M4" s="5"/>
      <c r="N4" s="32"/>
      <c r="O4" s="26"/>
      <c r="P4" s="5"/>
      <c r="Q4" s="5"/>
      <c r="R4" s="125"/>
      <c r="S4" s="26"/>
      <c r="T4" s="4"/>
      <c r="U4" s="72"/>
      <c r="V4" s="5"/>
      <c r="W4" s="67"/>
    </row>
    <row r="5" spans="1:23" ht="66" customHeight="1" x14ac:dyDescent="0.25">
      <c r="A5" s="37"/>
      <c r="B5" s="5"/>
      <c r="C5" s="5"/>
      <c r="D5" s="5"/>
      <c r="E5" s="5"/>
      <c r="F5" s="67"/>
      <c r="G5" s="5"/>
      <c r="H5" s="67"/>
      <c r="I5" s="67"/>
      <c r="J5" s="5"/>
      <c r="K5" s="5"/>
      <c r="L5" s="5"/>
      <c r="M5" s="5"/>
      <c r="N5" s="32"/>
      <c r="O5" s="26"/>
      <c r="P5" s="5"/>
      <c r="Q5" s="5"/>
      <c r="R5" s="125"/>
      <c r="S5" s="26"/>
      <c r="T5" s="66"/>
      <c r="U5" s="72"/>
      <c r="V5" s="67"/>
      <c r="W5" s="67"/>
    </row>
    <row r="6" spans="1:23" ht="66" customHeight="1" x14ac:dyDescent="0.25">
      <c r="A6" s="140"/>
      <c r="B6" s="5"/>
      <c r="C6" s="5"/>
      <c r="D6" s="5"/>
      <c r="E6" s="5"/>
      <c r="F6" s="67"/>
      <c r="G6" s="5"/>
      <c r="H6" s="67"/>
      <c r="I6" s="36"/>
      <c r="J6" s="5"/>
      <c r="K6" s="5"/>
      <c r="L6" s="5"/>
      <c r="M6" s="5"/>
      <c r="N6" s="43"/>
      <c r="O6" s="26"/>
      <c r="P6" s="38"/>
      <c r="Q6" s="38"/>
      <c r="R6" s="125"/>
      <c r="S6" s="26"/>
      <c r="T6" s="66"/>
      <c r="U6" s="83"/>
      <c r="V6" s="67"/>
      <c r="W6" s="36"/>
    </row>
    <row r="7" spans="1:23" ht="66" customHeight="1" x14ac:dyDescent="0.25">
      <c r="A7" s="37"/>
      <c r="B7" s="5"/>
      <c r="C7" s="5"/>
      <c r="D7" s="5"/>
      <c r="E7" s="5"/>
      <c r="F7" s="5"/>
      <c r="G7" s="5"/>
      <c r="H7" s="67"/>
      <c r="I7" s="5"/>
      <c r="J7" s="5"/>
      <c r="K7" s="5"/>
      <c r="L7" s="5"/>
      <c r="M7" s="5"/>
      <c r="N7" s="32"/>
      <c r="O7" s="26"/>
      <c r="P7" s="5"/>
      <c r="Q7" s="5"/>
      <c r="R7" s="32"/>
      <c r="S7" s="26"/>
      <c r="T7" s="66"/>
      <c r="U7" s="72"/>
      <c r="V7" s="67"/>
      <c r="W7" s="145"/>
    </row>
    <row r="8" spans="1:23" ht="66" customHeight="1" x14ac:dyDescent="0.25">
      <c r="A8" s="37"/>
      <c r="B8" s="5"/>
      <c r="C8" s="5"/>
      <c r="D8" s="5"/>
      <c r="E8" s="5"/>
      <c r="F8" s="5"/>
      <c r="G8" s="5"/>
      <c r="H8" s="67"/>
      <c r="I8" s="5"/>
      <c r="J8" s="5"/>
      <c r="K8" s="5"/>
      <c r="L8" s="5"/>
      <c r="M8" s="5"/>
      <c r="N8" s="32"/>
      <c r="O8" s="26"/>
      <c r="P8" s="5"/>
      <c r="Q8" s="5"/>
      <c r="R8" s="32"/>
      <c r="S8" s="26"/>
      <c r="T8" s="66"/>
      <c r="U8" s="72"/>
      <c r="V8" s="36"/>
      <c r="W8" s="36"/>
    </row>
    <row r="9" spans="1:23" ht="66" customHeight="1" x14ac:dyDescent="0.25">
      <c r="A9" s="37"/>
      <c r="B9" s="5"/>
      <c r="C9" s="5"/>
      <c r="D9" s="5"/>
      <c r="E9" s="5"/>
      <c r="F9" s="5"/>
      <c r="G9" s="5"/>
      <c r="H9" s="67"/>
      <c r="I9" s="36"/>
      <c r="J9" s="5"/>
      <c r="K9" s="5"/>
      <c r="L9" s="5"/>
      <c r="M9" s="5"/>
      <c r="N9" s="32"/>
      <c r="O9" s="26"/>
      <c r="P9" s="5"/>
      <c r="Q9" s="5"/>
      <c r="R9" s="32"/>
      <c r="S9" s="26"/>
      <c r="T9" s="66"/>
      <c r="U9" s="5"/>
      <c r="V9" s="36"/>
      <c r="W9" s="143"/>
    </row>
    <row r="10" spans="1:23" ht="66" customHeight="1" x14ac:dyDescent="0.25">
      <c r="A10" s="37"/>
      <c r="B10" s="5"/>
      <c r="C10" s="5"/>
      <c r="D10" s="5"/>
      <c r="E10" s="5"/>
      <c r="F10" s="38"/>
      <c r="G10" s="36"/>
      <c r="H10" s="67"/>
      <c r="I10" s="36"/>
      <c r="J10" s="5"/>
      <c r="K10" s="5"/>
      <c r="L10" s="5"/>
      <c r="M10" s="5"/>
      <c r="N10" s="32"/>
      <c r="O10" s="26"/>
      <c r="P10" s="5"/>
      <c r="Q10" s="5"/>
      <c r="R10" s="32"/>
      <c r="S10" s="26"/>
      <c r="T10" s="66"/>
      <c r="U10" s="81"/>
      <c r="V10" s="36"/>
      <c r="W10" s="36"/>
    </row>
    <row r="11" spans="1:23" ht="66" customHeight="1" x14ac:dyDescent="0.25">
      <c r="A11" s="37"/>
      <c r="B11" s="5"/>
      <c r="C11" s="5"/>
      <c r="D11" s="5"/>
      <c r="E11" s="5"/>
      <c r="F11" s="5"/>
      <c r="G11" s="36"/>
      <c r="H11" s="67"/>
      <c r="I11" s="36"/>
      <c r="J11" s="5"/>
      <c r="K11" s="5"/>
      <c r="L11" s="5"/>
      <c r="M11" s="5"/>
      <c r="N11" s="32"/>
      <c r="O11" s="26"/>
      <c r="P11" s="5"/>
      <c r="Q11" s="5"/>
      <c r="R11" s="32"/>
      <c r="S11" s="26"/>
      <c r="T11" s="66"/>
      <c r="U11" s="81"/>
      <c r="V11" s="36"/>
      <c r="W11" s="36"/>
    </row>
    <row r="12" spans="1:23" ht="66" customHeight="1" x14ac:dyDescent="0.25">
      <c r="A12" s="37"/>
      <c r="B12" s="5"/>
      <c r="C12" s="5"/>
      <c r="D12" s="5"/>
      <c r="E12" s="5"/>
      <c r="F12" s="5"/>
      <c r="G12" s="36"/>
      <c r="H12" s="31"/>
      <c r="I12" s="5"/>
      <c r="J12" s="5"/>
      <c r="K12" s="5"/>
      <c r="L12" s="5"/>
      <c r="M12" s="5"/>
      <c r="N12" s="32"/>
      <c r="O12" s="26"/>
      <c r="P12" s="5"/>
      <c r="Q12" s="5"/>
      <c r="R12" s="125"/>
      <c r="S12" s="26"/>
      <c r="T12" s="66"/>
      <c r="U12" s="72"/>
      <c r="V12" s="36"/>
      <c r="W12" s="36"/>
    </row>
    <row r="13" spans="1:23" ht="66" customHeight="1" x14ac:dyDescent="0.25">
      <c r="A13" s="37"/>
      <c r="B13" s="5"/>
      <c r="C13" s="5"/>
      <c r="D13" s="5"/>
      <c r="E13" s="5"/>
      <c r="F13" s="5"/>
      <c r="G13" s="36"/>
      <c r="H13" s="31"/>
      <c r="I13" s="36"/>
      <c r="J13" s="5"/>
      <c r="K13" s="5"/>
      <c r="L13" s="5"/>
      <c r="M13" s="5"/>
      <c r="N13" s="32"/>
      <c r="O13" s="26"/>
      <c r="P13" s="5"/>
      <c r="Q13" s="5"/>
      <c r="R13" s="32"/>
      <c r="S13" s="26"/>
      <c r="T13" s="66"/>
      <c r="U13" s="84"/>
      <c r="V13" s="36"/>
      <c r="W13" s="36"/>
    </row>
    <row r="14" spans="1:23" ht="66" customHeight="1" x14ac:dyDescent="0.25">
      <c r="A14" s="37"/>
      <c r="B14" s="5"/>
      <c r="C14" s="5"/>
      <c r="D14" s="5"/>
      <c r="E14" s="5"/>
      <c r="F14" s="5"/>
      <c r="G14" s="36"/>
      <c r="H14" s="31"/>
      <c r="I14" s="36"/>
      <c r="J14" s="5"/>
      <c r="K14" s="5"/>
      <c r="L14" s="5"/>
      <c r="M14" s="5"/>
      <c r="N14" s="32"/>
      <c r="O14" s="26"/>
      <c r="P14" s="5"/>
      <c r="Q14" s="5"/>
      <c r="R14" s="32"/>
      <c r="S14" s="26"/>
      <c r="T14" s="66"/>
      <c r="U14" s="84"/>
      <c r="V14" s="36"/>
      <c r="W14" s="67"/>
    </row>
    <row r="15" spans="1:23" ht="66" customHeight="1" x14ac:dyDescent="0.25">
      <c r="A15" s="37"/>
      <c r="B15" s="5"/>
      <c r="C15" s="5"/>
      <c r="D15" s="5"/>
      <c r="E15" s="5"/>
      <c r="F15" s="5"/>
      <c r="G15" s="36"/>
      <c r="H15" s="31"/>
      <c r="I15" s="36"/>
      <c r="J15" s="5"/>
      <c r="K15" s="5"/>
      <c r="L15" s="5"/>
      <c r="M15" s="5"/>
      <c r="N15" s="32"/>
      <c r="O15" s="26"/>
      <c r="P15" s="5"/>
      <c r="Q15" s="5"/>
      <c r="R15" s="32"/>
      <c r="S15" s="26"/>
      <c r="T15" s="4"/>
      <c r="U15" s="84"/>
      <c r="V15" s="36"/>
      <c r="W15" s="67"/>
    </row>
    <row r="16" spans="1:23" ht="66" customHeight="1" x14ac:dyDescent="0.25">
      <c r="A16" s="147"/>
      <c r="B16" s="67"/>
      <c r="C16" s="67"/>
      <c r="D16" s="67"/>
      <c r="E16" s="67"/>
      <c r="F16" s="67"/>
      <c r="G16" s="67"/>
      <c r="H16" s="67"/>
      <c r="I16" s="67"/>
      <c r="J16" s="67"/>
      <c r="K16" s="67"/>
      <c r="L16" s="67"/>
      <c r="M16" s="67"/>
      <c r="N16" s="67"/>
      <c r="O16" s="26"/>
      <c r="P16" s="67"/>
      <c r="Q16" s="67"/>
      <c r="R16" s="67"/>
      <c r="S16" s="26"/>
      <c r="T16" s="66"/>
      <c r="U16" s="84"/>
      <c r="V16" s="67"/>
      <c r="W16" s="36"/>
    </row>
    <row r="17" spans="1:23" ht="66" customHeight="1" x14ac:dyDescent="0.25">
      <c r="A17" s="37"/>
      <c r="B17" s="38"/>
      <c r="C17" s="38"/>
      <c r="D17" s="38"/>
      <c r="E17" s="38"/>
      <c r="F17" s="5"/>
      <c r="G17" s="36"/>
      <c r="H17" s="65"/>
      <c r="I17" s="36"/>
      <c r="J17" s="5"/>
      <c r="K17" s="5"/>
      <c r="L17" s="38"/>
      <c r="M17" s="38"/>
      <c r="N17" s="43"/>
      <c r="O17" s="68"/>
      <c r="P17" s="38"/>
      <c r="Q17" s="38"/>
      <c r="R17" s="32"/>
      <c r="S17" s="68"/>
      <c r="T17" s="4"/>
      <c r="U17" s="72"/>
      <c r="V17" s="40"/>
      <c r="W17" s="36"/>
    </row>
    <row r="18" spans="1:23" ht="66" customHeight="1" x14ac:dyDescent="0.25">
      <c r="A18" s="37"/>
      <c r="B18" s="38"/>
      <c r="C18" s="5"/>
      <c r="D18" s="38"/>
      <c r="E18" s="38"/>
      <c r="F18" s="38"/>
      <c r="G18" s="5"/>
      <c r="H18" s="65"/>
      <c r="I18" s="36"/>
      <c r="J18" s="5"/>
      <c r="K18" s="5"/>
      <c r="L18" s="38"/>
      <c r="M18" s="38"/>
      <c r="N18" s="43"/>
      <c r="O18" s="68"/>
      <c r="P18" s="38"/>
      <c r="Q18" s="38"/>
      <c r="R18" s="32"/>
      <c r="S18" s="68"/>
      <c r="T18" s="4"/>
      <c r="U18" s="72"/>
      <c r="V18" s="40"/>
      <c r="W18" s="149"/>
    </row>
    <row r="19" spans="1:23" ht="66" customHeight="1" x14ac:dyDescent="0.25">
      <c r="A19" s="37"/>
      <c r="B19" s="5"/>
      <c r="C19" s="5"/>
      <c r="D19" s="5"/>
      <c r="E19" s="5"/>
      <c r="F19" s="5"/>
      <c r="G19" s="36"/>
      <c r="H19" s="65"/>
      <c r="I19" s="36"/>
      <c r="J19" s="5"/>
      <c r="K19" s="5"/>
      <c r="L19" s="5"/>
      <c r="M19" s="5"/>
      <c r="N19" s="43"/>
      <c r="O19" s="68"/>
      <c r="P19" s="5"/>
      <c r="Q19" s="5"/>
      <c r="R19" s="32"/>
      <c r="S19" s="68"/>
      <c r="T19" s="4"/>
      <c r="U19" s="84"/>
      <c r="V19" s="36"/>
      <c r="W19" s="36"/>
    </row>
    <row r="20" spans="1:23" ht="66" customHeight="1" x14ac:dyDescent="0.25">
      <c r="A20" s="37"/>
      <c r="B20" s="5"/>
      <c r="C20" s="5"/>
      <c r="D20" s="5"/>
      <c r="E20" s="5"/>
      <c r="F20" s="5"/>
      <c r="G20" s="5"/>
      <c r="H20" s="31"/>
      <c r="I20" s="36"/>
      <c r="J20" s="5"/>
      <c r="K20" s="5"/>
      <c r="L20" s="5"/>
      <c r="M20" s="5"/>
      <c r="N20" s="43"/>
      <c r="O20" s="68"/>
      <c r="P20" s="5"/>
      <c r="Q20" s="5"/>
      <c r="R20" s="125"/>
      <c r="S20" s="68"/>
      <c r="T20" s="4"/>
      <c r="U20" s="72"/>
      <c r="V20" s="36"/>
      <c r="W20" s="36"/>
    </row>
    <row r="21" spans="1:23" ht="66" customHeight="1" x14ac:dyDescent="0.25">
      <c r="A21" s="37"/>
      <c r="B21" s="5"/>
      <c r="C21" s="5"/>
      <c r="D21" s="5"/>
      <c r="E21" s="5"/>
      <c r="F21" s="5"/>
      <c r="G21" s="36"/>
      <c r="H21" s="31"/>
      <c r="I21" s="5"/>
      <c r="J21" s="5"/>
      <c r="K21" s="5"/>
      <c r="L21" s="5"/>
      <c r="M21" s="5"/>
      <c r="N21" s="32"/>
      <c r="O21" s="26"/>
      <c r="P21" s="5"/>
      <c r="Q21" s="5"/>
      <c r="R21" s="125"/>
      <c r="S21" s="26"/>
      <c r="T21" s="4"/>
      <c r="U21" s="83"/>
      <c r="V21" s="36"/>
      <c r="W21" s="36"/>
    </row>
    <row r="22" spans="1:23" ht="66" customHeight="1" x14ac:dyDescent="0.25">
      <c r="A22" s="37"/>
      <c r="B22" s="5"/>
      <c r="C22" s="5"/>
      <c r="D22" s="5"/>
      <c r="E22" s="5"/>
      <c r="F22" s="5"/>
      <c r="G22" s="36"/>
      <c r="H22" s="31"/>
      <c r="I22" s="36"/>
      <c r="J22" s="5"/>
      <c r="K22" s="5"/>
      <c r="L22" s="5"/>
      <c r="M22" s="5"/>
      <c r="N22" s="43"/>
      <c r="O22" s="68"/>
      <c r="P22" s="5"/>
      <c r="Q22" s="5"/>
      <c r="R22" s="32"/>
      <c r="S22" s="68"/>
      <c r="T22" s="4"/>
      <c r="U22" s="84"/>
      <c r="V22" s="36"/>
      <c r="W22" s="36"/>
    </row>
    <row r="23" spans="1:23" ht="66" customHeight="1" x14ac:dyDescent="0.25">
      <c r="A23" s="37"/>
      <c r="B23" s="5"/>
      <c r="C23" s="5"/>
      <c r="D23" s="5"/>
      <c r="E23" s="5"/>
      <c r="F23" s="5"/>
      <c r="G23" s="36"/>
      <c r="H23" s="31"/>
      <c r="I23" s="36"/>
      <c r="J23" s="5"/>
      <c r="K23" s="5"/>
      <c r="L23" s="5"/>
      <c r="M23" s="5"/>
      <c r="N23" s="43"/>
      <c r="O23" s="68"/>
      <c r="P23" s="5"/>
      <c r="Q23" s="5"/>
      <c r="R23" s="32"/>
      <c r="S23" s="68"/>
      <c r="T23" s="4"/>
      <c r="U23" s="84"/>
      <c r="V23" s="36"/>
      <c r="W23" s="36"/>
    </row>
    <row r="24" spans="1:23" s="33" customFormat="1" ht="66" customHeight="1" x14ac:dyDescent="0.25">
      <c r="A24" s="37"/>
      <c r="B24" s="5"/>
      <c r="C24" s="5"/>
      <c r="D24" s="5"/>
      <c r="E24" s="5"/>
      <c r="F24" s="5"/>
      <c r="G24" s="36"/>
      <c r="H24" s="31"/>
      <c r="I24" s="36"/>
      <c r="J24" s="5"/>
      <c r="K24" s="67"/>
      <c r="L24" s="5"/>
      <c r="M24" s="5"/>
      <c r="N24" s="43"/>
      <c r="O24" s="68"/>
      <c r="P24" s="5"/>
      <c r="Q24" s="5"/>
      <c r="R24" s="32"/>
      <c r="S24" s="68"/>
      <c r="T24" s="4"/>
      <c r="U24" s="72"/>
      <c r="V24" s="36"/>
      <c r="W24" s="36"/>
    </row>
    <row r="25" spans="1:23" ht="66" customHeight="1" x14ac:dyDescent="0.25">
      <c r="A25" s="147"/>
      <c r="B25" s="67"/>
      <c r="C25" s="67"/>
      <c r="D25" s="67"/>
      <c r="E25" s="67"/>
      <c r="F25" s="67"/>
      <c r="G25" s="36"/>
      <c r="H25" s="67"/>
      <c r="I25" s="67"/>
      <c r="J25" s="67"/>
      <c r="K25" s="67"/>
      <c r="L25" s="67"/>
      <c r="M25" s="67"/>
      <c r="N25" s="67"/>
      <c r="O25" s="68"/>
      <c r="P25" s="67"/>
      <c r="Q25" s="67"/>
      <c r="R25" s="67"/>
      <c r="S25" s="68"/>
      <c r="T25" s="66"/>
      <c r="U25" s="72"/>
      <c r="V25" s="67"/>
      <c r="W25" s="67"/>
    </row>
    <row r="26" spans="1:23" ht="66" customHeight="1" x14ac:dyDescent="0.25">
      <c r="A26" s="37"/>
      <c r="B26" s="5"/>
      <c r="C26" s="5"/>
      <c r="D26" s="5"/>
      <c r="E26" s="5"/>
      <c r="F26" s="5"/>
      <c r="G26" s="36"/>
      <c r="H26" s="31"/>
      <c r="I26" s="36"/>
      <c r="J26" s="5"/>
      <c r="K26" s="5"/>
      <c r="L26" s="5"/>
      <c r="M26" s="5"/>
      <c r="N26" s="43"/>
      <c r="O26" s="68"/>
      <c r="P26" s="5"/>
      <c r="Q26" s="5"/>
      <c r="R26" s="32"/>
      <c r="S26" s="68"/>
      <c r="T26" s="4"/>
      <c r="U26" s="84"/>
      <c r="V26" s="36"/>
      <c r="W26" s="36"/>
    </row>
    <row r="27" spans="1:23" s="44" customFormat="1" ht="66" customHeight="1" x14ac:dyDescent="0.25">
      <c r="A27" s="37"/>
      <c r="B27" s="5"/>
      <c r="C27" s="5"/>
      <c r="D27" s="5"/>
      <c r="E27" s="5"/>
      <c r="F27" s="5"/>
      <c r="G27" s="5"/>
      <c r="H27" s="31"/>
      <c r="I27" s="40"/>
      <c r="J27" s="5"/>
      <c r="K27" s="5"/>
      <c r="L27" s="5"/>
      <c r="M27" s="5"/>
      <c r="N27" s="32"/>
      <c r="O27" s="26"/>
      <c r="P27" s="5"/>
      <c r="Q27" s="5"/>
      <c r="R27" s="32"/>
      <c r="S27" s="26"/>
      <c r="T27" s="4"/>
      <c r="U27" s="71"/>
      <c r="V27" s="5"/>
      <c r="W27" s="36"/>
    </row>
    <row r="28" spans="1:23" s="44" customFormat="1" ht="66" customHeight="1" x14ac:dyDescent="0.25">
      <c r="A28" s="37"/>
      <c r="B28" s="38"/>
      <c r="C28" s="38"/>
      <c r="D28" s="38"/>
      <c r="E28" s="38"/>
      <c r="F28" s="38"/>
      <c r="G28" s="36"/>
      <c r="H28" s="65"/>
      <c r="I28" s="40"/>
      <c r="J28" s="38"/>
      <c r="K28" s="5"/>
      <c r="L28" s="38"/>
      <c r="M28" s="38"/>
      <c r="N28" s="43"/>
      <c r="O28" s="68"/>
      <c r="P28" s="38"/>
      <c r="Q28" s="38"/>
      <c r="R28" s="32"/>
      <c r="S28" s="68"/>
      <c r="T28" s="39"/>
      <c r="U28" s="82"/>
      <c r="V28" s="40"/>
      <c r="W28" s="153"/>
    </row>
    <row r="29" spans="1:23" s="44" customFormat="1" ht="66" customHeight="1" x14ac:dyDescent="0.25">
      <c r="A29" s="37"/>
      <c r="B29" s="38"/>
      <c r="C29" s="38"/>
      <c r="D29" s="38"/>
      <c r="E29" s="38"/>
      <c r="F29" s="38"/>
      <c r="G29" s="40"/>
      <c r="H29" s="65"/>
      <c r="I29" s="40"/>
      <c r="J29" s="38"/>
      <c r="K29" s="5"/>
      <c r="L29" s="38"/>
      <c r="M29" s="38"/>
      <c r="N29" s="43"/>
      <c r="O29" s="68"/>
      <c r="P29" s="38"/>
      <c r="Q29" s="38"/>
      <c r="R29" s="32"/>
      <c r="S29" s="68"/>
      <c r="T29" s="39"/>
      <c r="U29" s="82"/>
      <c r="V29" s="40"/>
      <c r="W29" s="40"/>
    </row>
    <row r="30" spans="1:23" ht="66" customHeight="1" x14ac:dyDescent="0.25">
      <c r="A30" s="37"/>
      <c r="B30" s="38"/>
      <c r="C30" s="38"/>
      <c r="D30" s="38"/>
      <c r="E30" s="38"/>
      <c r="F30" s="38"/>
      <c r="G30" s="36"/>
      <c r="H30" s="65"/>
      <c r="I30" s="40"/>
      <c r="J30" s="38"/>
      <c r="K30" s="5"/>
      <c r="L30" s="38"/>
      <c r="M30" s="38"/>
      <c r="N30" s="43"/>
      <c r="O30" s="144"/>
      <c r="P30" s="38"/>
      <c r="Q30" s="38"/>
      <c r="R30" s="32"/>
      <c r="S30" s="144"/>
      <c r="T30" s="152"/>
      <c r="U30" s="82"/>
      <c r="V30" s="40"/>
      <c r="W30" s="40"/>
    </row>
    <row r="31" spans="1:23" ht="66" customHeight="1" x14ac:dyDescent="0.25">
      <c r="A31" s="37"/>
      <c r="B31" s="5"/>
      <c r="C31" s="5"/>
      <c r="D31" s="5"/>
      <c r="E31" s="5"/>
      <c r="F31" s="5"/>
      <c r="G31" s="36"/>
      <c r="H31" s="65"/>
      <c r="I31" s="36"/>
      <c r="J31" s="5"/>
      <c r="K31" s="5"/>
      <c r="L31" s="5"/>
      <c r="M31" s="5"/>
      <c r="N31" s="43"/>
      <c r="O31" s="68"/>
      <c r="P31" s="5"/>
      <c r="Q31" s="5"/>
      <c r="R31" s="32"/>
      <c r="S31" s="68"/>
      <c r="T31" s="4"/>
      <c r="U31" s="72"/>
      <c r="V31" s="36"/>
      <c r="W31" s="36"/>
    </row>
    <row r="32" spans="1:23" ht="66" customHeight="1" x14ac:dyDescent="0.25">
      <c r="A32" s="147"/>
      <c r="B32" s="67"/>
      <c r="C32" s="67"/>
      <c r="D32" s="67"/>
      <c r="E32" s="67"/>
      <c r="F32" s="67"/>
      <c r="G32" s="67"/>
      <c r="H32" s="67"/>
      <c r="I32" s="67"/>
      <c r="J32" s="67"/>
      <c r="K32" s="67"/>
      <c r="L32" s="67"/>
      <c r="M32" s="67"/>
      <c r="N32" s="67"/>
      <c r="O32" s="68"/>
      <c r="P32" s="67"/>
      <c r="Q32" s="67"/>
      <c r="R32" s="151"/>
      <c r="S32" s="68"/>
      <c r="T32" s="66"/>
      <c r="U32" s="72"/>
      <c r="V32" s="67"/>
      <c r="W32" s="67"/>
    </row>
    <row r="33" spans="1:23" ht="66" customHeight="1" x14ac:dyDescent="0.25">
      <c r="A33" s="37"/>
      <c r="B33" s="38"/>
      <c r="C33" s="38"/>
      <c r="D33" s="38"/>
      <c r="E33" s="38"/>
      <c r="F33" s="38"/>
      <c r="G33" s="36"/>
      <c r="H33" s="65"/>
      <c r="I33" s="40"/>
      <c r="J33" s="38"/>
      <c r="K33" s="67"/>
      <c r="L33" s="38"/>
      <c r="M33" s="38"/>
      <c r="N33" s="43"/>
      <c r="O33" s="68"/>
      <c r="P33" s="38"/>
      <c r="Q33" s="38"/>
      <c r="R33" s="32"/>
      <c r="S33" s="68"/>
      <c r="T33" s="39"/>
      <c r="U33" s="82"/>
      <c r="V33" s="40"/>
      <c r="W33" s="40"/>
    </row>
    <row r="34" spans="1:23" ht="66" customHeight="1" x14ac:dyDescent="0.25">
      <c r="A34" s="37"/>
      <c r="B34" s="38"/>
      <c r="C34" s="38"/>
      <c r="D34" s="38"/>
      <c r="E34" s="5"/>
      <c r="F34" s="38"/>
      <c r="G34" s="36"/>
      <c r="H34" s="65"/>
      <c r="I34" s="40"/>
      <c r="J34" s="38"/>
      <c r="K34" s="5"/>
      <c r="L34" s="38"/>
      <c r="M34" s="38"/>
      <c r="N34" s="43"/>
      <c r="O34" s="68"/>
      <c r="P34" s="38"/>
      <c r="Q34" s="38"/>
      <c r="R34" s="32"/>
      <c r="S34" s="68"/>
      <c r="T34" s="39"/>
      <c r="U34" s="83"/>
      <c r="V34" s="36"/>
      <c r="W34" s="40"/>
    </row>
    <row r="35" spans="1:23" ht="66" customHeight="1" x14ac:dyDescent="0.25">
      <c r="A35" s="37"/>
      <c r="B35" s="38"/>
      <c r="C35" s="38"/>
      <c r="D35" s="38"/>
      <c r="E35" s="38"/>
      <c r="F35" s="5"/>
      <c r="G35" s="36"/>
      <c r="H35" s="65"/>
      <c r="I35" s="36"/>
      <c r="J35" s="5"/>
      <c r="K35" s="5"/>
      <c r="L35" s="38"/>
      <c r="M35" s="38"/>
      <c r="N35" s="43"/>
      <c r="O35" s="68"/>
      <c r="P35" s="38"/>
      <c r="Q35" s="38"/>
      <c r="R35" s="32"/>
      <c r="S35" s="68"/>
      <c r="T35" s="4"/>
      <c r="U35" s="83"/>
      <c r="V35" s="40"/>
      <c r="W35" s="40"/>
    </row>
    <row r="36" spans="1:23" ht="66" customHeight="1" x14ac:dyDescent="0.25">
      <c r="A36" s="37"/>
      <c r="B36" s="38"/>
      <c r="C36" s="38"/>
      <c r="D36" s="38"/>
      <c r="E36" s="38"/>
      <c r="F36" s="38"/>
      <c r="G36" s="40"/>
      <c r="H36" s="65"/>
      <c r="I36" s="40"/>
      <c r="J36" s="38"/>
      <c r="K36" s="5"/>
      <c r="L36" s="38"/>
      <c r="M36" s="38"/>
      <c r="N36" s="43"/>
      <c r="O36" s="68"/>
      <c r="P36" s="38"/>
      <c r="Q36" s="38"/>
      <c r="R36" s="43"/>
      <c r="S36" s="68"/>
      <c r="T36" s="39"/>
      <c r="U36" s="82"/>
      <c r="V36" s="40"/>
      <c r="W36" s="40"/>
    </row>
    <row r="37" spans="1:23" ht="66" customHeight="1" x14ac:dyDescent="0.25">
      <c r="A37" s="37"/>
      <c r="B37" s="148"/>
      <c r="C37" s="148"/>
      <c r="D37" s="38"/>
      <c r="E37" s="38"/>
      <c r="F37" s="38"/>
      <c r="G37" s="40"/>
      <c r="H37" s="65"/>
      <c r="I37" s="40"/>
      <c r="J37" s="38"/>
      <c r="K37" s="5"/>
      <c r="L37" s="38"/>
      <c r="M37" s="38"/>
      <c r="N37" s="43"/>
      <c r="O37" s="68"/>
      <c r="P37" s="38"/>
      <c r="Q37" s="38"/>
      <c r="R37" s="43"/>
      <c r="S37" s="68"/>
      <c r="T37" s="39"/>
      <c r="U37" s="82"/>
      <c r="V37" s="40"/>
      <c r="W37" s="40"/>
    </row>
    <row r="38" spans="1:23" ht="66" customHeight="1" x14ac:dyDescent="0.25">
      <c r="A38" s="37"/>
      <c r="B38" s="5"/>
      <c r="C38" s="5"/>
      <c r="D38" s="5"/>
      <c r="E38" s="5"/>
      <c r="F38" s="5"/>
      <c r="G38" s="36"/>
      <c r="H38" s="31"/>
      <c r="I38" s="36"/>
      <c r="J38" s="5"/>
      <c r="K38" s="5"/>
      <c r="L38" s="5"/>
      <c r="M38" s="5"/>
      <c r="N38" s="32"/>
      <c r="O38" s="26"/>
      <c r="P38" s="5"/>
      <c r="Q38" s="5"/>
      <c r="R38" s="32"/>
      <c r="S38" s="26"/>
      <c r="T38" s="66"/>
      <c r="U38" s="146"/>
      <c r="V38" s="36"/>
      <c r="W38" s="36"/>
    </row>
    <row r="39" spans="1:23" ht="66" customHeight="1" x14ac:dyDescent="0.25">
      <c r="A39" s="37"/>
      <c r="B39" s="136"/>
      <c r="C39" s="136"/>
      <c r="D39" s="5"/>
      <c r="E39" s="5"/>
      <c r="F39" s="5"/>
      <c r="G39" s="36"/>
      <c r="H39" s="31"/>
      <c r="I39" s="36"/>
      <c r="J39" s="5"/>
      <c r="K39" s="5"/>
      <c r="L39" s="5"/>
      <c r="M39" s="5"/>
      <c r="N39" s="32"/>
      <c r="O39" s="26"/>
      <c r="P39" s="5"/>
      <c r="Q39" s="5"/>
      <c r="R39" s="32"/>
      <c r="S39" s="26"/>
      <c r="T39" s="66"/>
      <c r="U39" s="72"/>
      <c r="V39" s="36"/>
      <c r="W39" s="36"/>
    </row>
    <row r="40" spans="1:23" ht="66" customHeight="1" x14ac:dyDescent="0.25">
      <c r="A40" s="147"/>
      <c r="B40" s="67"/>
      <c r="C40" s="67"/>
      <c r="D40" s="67"/>
      <c r="E40" s="67"/>
      <c r="F40" s="67"/>
      <c r="G40" s="67"/>
      <c r="H40" s="67"/>
      <c r="I40" s="67"/>
      <c r="J40" s="67"/>
      <c r="K40" s="67"/>
      <c r="L40" s="67"/>
      <c r="M40" s="67"/>
      <c r="N40" s="67"/>
      <c r="O40" s="26"/>
      <c r="P40" s="67"/>
      <c r="Q40" s="67"/>
      <c r="R40" s="67"/>
      <c r="S40" s="26"/>
      <c r="T40" s="66"/>
      <c r="U40" s="72"/>
      <c r="V40" s="67"/>
      <c r="W40" s="67"/>
    </row>
    <row r="41" spans="1:23" ht="66" customHeight="1" x14ac:dyDescent="0.25">
      <c r="A41" s="37"/>
      <c r="B41" s="38"/>
      <c r="C41" s="38"/>
      <c r="D41" s="38"/>
      <c r="E41" s="38"/>
      <c r="F41" s="38"/>
      <c r="G41" s="40"/>
      <c r="H41" s="65"/>
      <c r="I41" s="40"/>
      <c r="J41" s="38"/>
      <c r="K41" s="38"/>
      <c r="L41" s="38"/>
      <c r="M41" s="38"/>
      <c r="N41" s="43"/>
      <c r="O41" s="68"/>
      <c r="P41" s="38"/>
      <c r="Q41" s="38"/>
      <c r="R41" s="43"/>
      <c r="S41" s="68"/>
      <c r="T41" s="39"/>
      <c r="U41" s="83"/>
      <c r="V41" s="40"/>
      <c r="W41" s="40"/>
    </row>
    <row r="42" spans="1:23" ht="66" customHeight="1" x14ac:dyDescent="0.25">
      <c r="A42" s="37"/>
      <c r="B42" s="38"/>
      <c r="C42" s="38"/>
      <c r="D42" s="38"/>
      <c r="E42" s="38"/>
      <c r="F42" s="38"/>
      <c r="G42" s="40"/>
      <c r="H42" s="65"/>
      <c r="I42" s="40"/>
      <c r="J42" s="38"/>
      <c r="K42" s="38"/>
      <c r="L42" s="38"/>
      <c r="M42" s="38"/>
      <c r="N42" s="43"/>
      <c r="O42" s="68"/>
      <c r="P42" s="38"/>
      <c r="Q42" s="38"/>
      <c r="R42" s="150"/>
      <c r="S42" s="68"/>
      <c r="T42" s="39"/>
      <c r="U42" s="83"/>
      <c r="V42" s="40"/>
      <c r="W42" s="40"/>
    </row>
    <row r="43" spans="1:23" ht="66" customHeight="1" x14ac:dyDescent="0.25">
      <c r="A43" s="140"/>
      <c r="B43" s="38"/>
      <c r="C43" s="38"/>
      <c r="D43" s="38"/>
      <c r="E43" s="38"/>
      <c r="F43" s="38"/>
      <c r="G43" s="40"/>
      <c r="H43" s="65"/>
      <c r="I43" s="40"/>
      <c r="J43" s="38"/>
      <c r="K43" s="38"/>
      <c r="L43" s="38"/>
      <c r="M43" s="38"/>
      <c r="N43" s="43"/>
      <c r="O43" s="68"/>
      <c r="P43" s="38"/>
      <c r="Q43" s="38"/>
      <c r="R43" s="43"/>
      <c r="S43" s="68"/>
      <c r="T43" s="39"/>
      <c r="U43" s="82"/>
      <c r="V43" s="36"/>
      <c r="W43" s="36"/>
    </row>
    <row r="44" spans="1:23" ht="66" customHeight="1" x14ac:dyDescent="0.25">
      <c r="A44" s="140"/>
      <c r="B44" s="5"/>
      <c r="C44" s="38"/>
      <c r="D44" s="38"/>
      <c r="E44" s="38"/>
      <c r="F44" s="38"/>
      <c r="G44" s="36"/>
      <c r="H44" s="65"/>
      <c r="I44" s="36"/>
      <c r="J44" s="38"/>
      <c r="K44" s="38"/>
      <c r="L44" s="38"/>
      <c r="M44" s="38"/>
      <c r="N44" s="43"/>
      <c r="O44" s="68"/>
      <c r="P44" s="38"/>
      <c r="Q44" s="38"/>
      <c r="R44" s="43"/>
      <c r="S44" s="68"/>
      <c r="T44" s="39"/>
      <c r="U44" s="83"/>
      <c r="V44" s="36"/>
      <c r="W44" s="143"/>
    </row>
    <row r="45" spans="1:23" ht="66" customHeight="1" x14ac:dyDescent="0.25">
      <c r="A45" s="140"/>
      <c r="B45" s="5"/>
      <c r="C45" s="38"/>
      <c r="D45" s="38"/>
      <c r="E45" s="38"/>
      <c r="F45" s="38"/>
      <c r="G45" s="36"/>
      <c r="H45" s="65"/>
      <c r="I45" s="36"/>
      <c r="J45" s="38"/>
      <c r="K45" s="38"/>
      <c r="L45" s="38"/>
      <c r="M45" s="38"/>
      <c r="N45" s="43"/>
      <c r="O45" s="68"/>
      <c r="P45" s="38"/>
      <c r="Q45" s="38"/>
      <c r="R45" s="43"/>
      <c r="S45" s="68"/>
      <c r="T45" s="39"/>
      <c r="U45" s="83"/>
      <c r="V45" s="36"/>
      <c r="W45" s="36"/>
    </row>
    <row r="46" spans="1:23" ht="66" customHeight="1" x14ac:dyDescent="0.25">
      <c r="A46" s="140"/>
      <c r="B46" s="38"/>
      <c r="C46" s="38"/>
      <c r="D46" s="38"/>
      <c r="E46" s="38"/>
      <c r="F46" s="38"/>
      <c r="G46" s="36"/>
      <c r="H46" s="65"/>
      <c r="I46" s="36"/>
      <c r="J46" s="38"/>
      <c r="K46" s="38"/>
      <c r="L46" s="38"/>
      <c r="M46" s="38"/>
      <c r="N46" s="43"/>
      <c r="O46" s="68"/>
      <c r="P46" s="38"/>
      <c r="Q46" s="38"/>
      <c r="R46" s="43"/>
      <c r="S46" s="68"/>
      <c r="T46" s="39"/>
      <c r="U46" s="83"/>
      <c r="V46" s="36"/>
      <c r="W46" s="36"/>
    </row>
    <row r="47" spans="1:23" ht="66" customHeight="1" x14ac:dyDescent="0.25">
      <c r="A47" s="140"/>
      <c r="B47" s="38"/>
      <c r="C47" s="38"/>
      <c r="D47" s="38"/>
      <c r="E47" s="38"/>
      <c r="F47" s="38"/>
      <c r="G47" s="36"/>
      <c r="H47" s="65"/>
      <c r="I47" s="36"/>
      <c r="J47" s="38"/>
      <c r="K47" s="38"/>
      <c r="L47" s="38"/>
      <c r="M47" s="38"/>
      <c r="N47" s="43"/>
      <c r="O47" s="68"/>
      <c r="P47" s="38"/>
      <c r="Q47" s="38"/>
      <c r="R47" s="43"/>
      <c r="S47" s="68"/>
      <c r="T47" s="39"/>
      <c r="U47" s="83"/>
      <c r="V47" s="36"/>
      <c r="W47" s="36"/>
    </row>
    <row r="48" spans="1:23" ht="66" customHeight="1" x14ac:dyDescent="0.25">
      <c r="A48" s="140"/>
      <c r="B48" s="5"/>
      <c r="C48" s="38"/>
      <c r="D48" s="38"/>
      <c r="E48" s="38"/>
      <c r="F48" s="38"/>
      <c r="G48" s="36"/>
      <c r="H48" s="65"/>
      <c r="I48" s="36"/>
      <c r="J48" s="38"/>
      <c r="K48" s="38"/>
      <c r="L48" s="38"/>
      <c r="M48" s="38"/>
      <c r="N48" s="43"/>
      <c r="O48" s="68"/>
      <c r="P48" s="38"/>
      <c r="Q48" s="38"/>
      <c r="R48" s="43"/>
      <c r="S48" s="68"/>
      <c r="T48" s="39"/>
      <c r="U48" s="83"/>
      <c r="V48" s="36"/>
      <c r="W48" s="36"/>
    </row>
    <row r="49" spans="1:23" ht="66" customHeight="1" x14ac:dyDescent="0.25">
      <c r="A49" s="140"/>
      <c r="B49" s="38"/>
      <c r="C49" s="38"/>
      <c r="D49" s="38"/>
      <c r="E49" s="38"/>
      <c r="F49" s="38"/>
      <c r="G49" s="36"/>
      <c r="H49" s="65"/>
      <c r="I49" s="40"/>
      <c r="J49" s="38"/>
      <c r="K49" s="5"/>
      <c r="L49" s="5"/>
      <c r="M49" s="5"/>
      <c r="N49" s="43"/>
      <c r="O49" s="68"/>
      <c r="P49" s="38"/>
      <c r="Q49" s="38"/>
      <c r="R49" s="32"/>
      <c r="S49" s="68"/>
      <c r="T49" s="39"/>
      <c r="U49" s="82"/>
      <c r="V49" s="36"/>
      <c r="W49" s="36"/>
    </row>
    <row r="50" spans="1:23" ht="66" customHeight="1" x14ac:dyDescent="0.25">
      <c r="A50" s="140"/>
      <c r="B50" s="5"/>
      <c r="C50" s="5"/>
      <c r="D50" s="5"/>
      <c r="E50" s="5"/>
      <c r="F50" s="5"/>
      <c r="G50" s="36"/>
      <c r="H50" s="65"/>
      <c r="I50" s="40"/>
      <c r="J50" s="38"/>
      <c r="K50" s="5"/>
      <c r="L50" s="5"/>
      <c r="M50" s="5"/>
      <c r="N50" s="43"/>
      <c r="O50" s="68"/>
      <c r="P50" s="38"/>
      <c r="Q50" s="38"/>
      <c r="R50" s="32"/>
      <c r="S50" s="68"/>
      <c r="T50" s="39"/>
      <c r="U50" s="82"/>
      <c r="V50" s="36"/>
      <c r="W50" s="36"/>
    </row>
    <row r="51" spans="1:23" ht="66" customHeight="1" x14ac:dyDescent="0.25">
      <c r="A51" s="140"/>
      <c r="B51" s="38"/>
      <c r="C51" s="38"/>
      <c r="D51" s="38"/>
      <c r="E51" s="38"/>
      <c r="F51" s="38"/>
      <c r="G51" s="36"/>
      <c r="H51" s="65"/>
      <c r="I51" s="36"/>
      <c r="J51" s="38"/>
      <c r="K51" s="38"/>
      <c r="L51" s="38"/>
      <c r="M51" s="38"/>
      <c r="N51" s="43"/>
      <c r="O51" s="68"/>
      <c r="P51" s="38"/>
      <c r="Q51" s="38"/>
      <c r="R51" s="43"/>
      <c r="S51" s="68"/>
      <c r="T51" s="39"/>
      <c r="U51" s="82"/>
      <c r="V51" s="36"/>
      <c r="W51" s="36"/>
    </row>
    <row r="52" spans="1:23" ht="66" customHeight="1" x14ac:dyDescent="0.25">
      <c r="D52"/>
    </row>
    <row r="53" spans="1:23" ht="66" customHeight="1" x14ac:dyDescent="0.25">
      <c r="D53"/>
    </row>
    <row r="54" spans="1:23" ht="66" customHeight="1" x14ac:dyDescent="0.25">
      <c r="D54"/>
    </row>
    <row r="55" spans="1:23" ht="66" customHeight="1" x14ac:dyDescent="0.25">
      <c r="D55"/>
    </row>
    <row r="56" spans="1:23" ht="66" customHeight="1" x14ac:dyDescent="0.25">
      <c r="D56"/>
    </row>
    <row r="57" spans="1:23" ht="66" customHeight="1" x14ac:dyDescent="0.25">
      <c r="D57"/>
    </row>
    <row r="58" spans="1:23" ht="66" customHeight="1" x14ac:dyDescent="0.25">
      <c r="D58"/>
    </row>
    <row r="59" spans="1:23" ht="66" customHeight="1" x14ac:dyDescent="0.25">
      <c r="D59"/>
    </row>
    <row r="60" spans="1:23" ht="66" customHeight="1" x14ac:dyDescent="0.25">
      <c r="D60"/>
    </row>
    <row r="61" spans="1:23" ht="66" customHeight="1" x14ac:dyDescent="0.25">
      <c r="D61"/>
    </row>
    <row r="62" spans="1:23" ht="66" customHeight="1" x14ac:dyDescent="0.25">
      <c r="D62"/>
    </row>
    <row r="63" spans="1:23" ht="66" customHeight="1" x14ac:dyDescent="0.25">
      <c r="D63"/>
    </row>
    <row r="64" spans="1:23" ht="66" customHeight="1" x14ac:dyDescent="0.25">
      <c r="D64"/>
    </row>
    <row r="65" spans="4:4" ht="66" customHeight="1" x14ac:dyDescent="0.25">
      <c r="D65"/>
    </row>
    <row r="66" spans="4:4" ht="66" customHeight="1" x14ac:dyDescent="0.25">
      <c r="D66"/>
    </row>
    <row r="67" spans="4:4" ht="66" customHeight="1" x14ac:dyDescent="0.25">
      <c r="D67"/>
    </row>
    <row r="68" spans="4:4" ht="66" customHeight="1" x14ac:dyDescent="0.25">
      <c r="D68"/>
    </row>
    <row r="69" spans="4:4" ht="66" customHeight="1" x14ac:dyDescent="0.25">
      <c r="D69"/>
    </row>
    <row r="70" spans="4:4" ht="66" customHeight="1" x14ac:dyDescent="0.25">
      <c r="D70"/>
    </row>
    <row r="71" spans="4:4" ht="66" customHeight="1" x14ac:dyDescent="0.25">
      <c r="D71"/>
    </row>
    <row r="72" spans="4:4" ht="66" customHeight="1" x14ac:dyDescent="0.25">
      <c r="D72"/>
    </row>
    <row r="73" spans="4:4" ht="66" customHeight="1" x14ac:dyDescent="0.25">
      <c r="D73"/>
    </row>
    <row r="74" spans="4:4" ht="66" customHeight="1" x14ac:dyDescent="0.25">
      <c r="D74"/>
    </row>
    <row r="75" spans="4:4" ht="66" customHeight="1" x14ac:dyDescent="0.25">
      <c r="D75"/>
    </row>
    <row r="76" spans="4:4" ht="66" customHeight="1" x14ac:dyDescent="0.25">
      <c r="D76"/>
    </row>
    <row r="77" spans="4:4" ht="66" customHeight="1" x14ac:dyDescent="0.25">
      <c r="D77"/>
    </row>
    <row r="78" spans="4:4" ht="66" customHeight="1" x14ac:dyDescent="0.25">
      <c r="D78"/>
    </row>
    <row r="79" spans="4:4" ht="66" customHeight="1" x14ac:dyDescent="0.25">
      <c r="D79"/>
    </row>
    <row r="80" spans="4:4" ht="66" customHeight="1" x14ac:dyDescent="0.25">
      <c r="D80"/>
    </row>
    <row r="81" spans="4:4" ht="66" customHeight="1" x14ac:dyDescent="0.25">
      <c r="D81"/>
    </row>
    <row r="82" spans="4:4" ht="66" customHeight="1" x14ac:dyDescent="0.25">
      <c r="D82"/>
    </row>
    <row r="83" spans="4:4" ht="66" customHeight="1" x14ac:dyDescent="0.25">
      <c r="D83"/>
    </row>
    <row r="84" spans="4:4" ht="66" customHeight="1" x14ac:dyDescent="0.25">
      <c r="D84"/>
    </row>
    <row r="85" spans="4:4" ht="66" customHeight="1" x14ac:dyDescent="0.25">
      <c r="D85"/>
    </row>
    <row r="86" spans="4:4" ht="66" customHeight="1" x14ac:dyDescent="0.25">
      <c r="D86"/>
    </row>
    <row r="87" spans="4:4" ht="66" customHeight="1" x14ac:dyDescent="0.25">
      <c r="D87"/>
    </row>
    <row r="88" spans="4:4" ht="66" customHeight="1" x14ac:dyDescent="0.25">
      <c r="D88"/>
    </row>
    <row r="89" spans="4:4" ht="66" customHeight="1" x14ac:dyDescent="0.25">
      <c r="D89"/>
    </row>
    <row r="90" spans="4:4" ht="66" customHeight="1" x14ac:dyDescent="0.25">
      <c r="D90"/>
    </row>
    <row r="91" spans="4:4" ht="66" customHeight="1" x14ac:dyDescent="0.25">
      <c r="D91"/>
    </row>
    <row r="92" spans="4:4" ht="66" customHeight="1" x14ac:dyDescent="0.25">
      <c r="D92"/>
    </row>
    <row r="93" spans="4:4" ht="66" customHeight="1" x14ac:dyDescent="0.25">
      <c r="D93"/>
    </row>
    <row r="94" spans="4:4" ht="66" customHeight="1" x14ac:dyDescent="0.25">
      <c r="D94"/>
    </row>
    <row r="95" spans="4:4" ht="66" customHeight="1" x14ac:dyDescent="0.25">
      <c r="D95"/>
    </row>
    <row r="96" spans="4:4" ht="66" customHeight="1" x14ac:dyDescent="0.25">
      <c r="D96"/>
    </row>
    <row r="97" spans="4:4" ht="66" customHeight="1" x14ac:dyDescent="0.25">
      <c r="D97"/>
    </row>
    <row r="98" spans="4:4" ht="66" customHeight="1" x14ac:dyDescent="0.25">
      <c r="D98"/>
    </row>
    <row r="99" spans="4:4" ht="66" customHeight="1" x14ac:dyDescent="0.25">
      <c r="D99"/>
    </row>
    <row r="100" spans="4:4" ht="66" customHeight="1" x14ac:dyDescent="0.25">
      <c r="D100"/>
    </row>
    <row r="101" spans="4:4" ht="66" customHeight="1" x14ac:dyDescent="0.25">
      <c r="D101"/>
    </row>
    <row r="102" spans="4:4" ht="66" customHeight="1" x14ac:dyDescent="0.25">
      <c r="D102"/>
    </row>
    <row r="103" spans="4:4" ht="66" customHeight="1" x14ac:dyDescent="0.25">
      <c r="D103"/>
    </row>
    <row r="104" spans="4:4" ht="66" customHeight="1" x14ac:dyDescent="0.25">
      <c r="D104"/>
    </row>
    <row r="105" spans="4:4" ht="66" customHeight="1" x14ac:dyDescent="0.25">
      <c r="D105"/>
    </row>
    <row r="106" spans="4:4" ht="66" customHeight="1" x14ac:dyDescent="0.25">
      <c r="D106"/>
    </row>
    <row r="107" spans="4:4" ht="66" customHeight="1" x14ac:dyDescent="0.25">
      <c r="D107"/>
    </row>
    <row r="108" spans="4:4" ht="66" customHeight="1" x14ac:dyDescent="0.25">
      <c r="D108"/>
    </row>
    <row r="109" spans="4:4" ht="66" customHeight="1" x14ac:dyDescent="0.25">
      <c r="D109"/>
    </row>
    <row r="110" spans="4:4" ht="66" customHeight="1" x14ac:dyDescent="0.25">
      <c r="D110"/>
    </row>
    <row r="111" spans="4:4" ht="66" customHeight="1" x14ac:dyDescent="0.25">
      <c r="D111"/>
    </row>
    <row r="112" spans="4:4" ht="66" customHeight="1" x14ac:dyDescent="0.25">
      <c r="D112"/>
    </row>
    <row r="113" spans="4:4" ht="66" customHeight="1" x14ac:dyDescent="0.25">
      <c r="D113"/>
    </row>
    <row r="114" spans="4:4" ht="66" customHeight="1" x14ac:dyDescent="0.25">
      <c r="D114"/>
    </row>
    <row r="115" spans="4:4" ht="66" customHeight="1" x14ac:dyDescent="0.25">
      <c r="D115"/>
    </row>
    <row r="116" spans="4:4" ht="66" customHeight="1" x14ac:dyDescent="0.25">
      <c r="D116"/>
    </row>
    <row r="117" spans="4:4" ht="66" customHeight="1" x14ac:dyDescent="0.25">
      <c r="D117"/>
    </row>
    <row r="118" spans="4:4" ht="66" customHeight="1" x14ac:dyDescent="0.25">
      <c r="D118"/>
    </row>
    <row r="119" spans="4:4" ht="66" customHeight="1" x14ac:dyDescent="0.25">
      <c r="D119"/>
    </row>
    <row r="120" spans="4:4" ht="66" customHeight="1" x14ac:dyDescent="0.25">
      <c r="D120"/>
    </row>
    <row r="121" spans="4:4" ht="66" customHeight="1" x14ac:dyDescent="0.25">
      <c r="D121"/>
    </row>
    <row r="122" spans="4:4" ht="66" customHeight="1" x14ac:dyDescent="0.25">
      <c r="D122"/>
    </row>
    <row r="123" spans="4:4" ht="66" customHeight="1" x14ac:dyDescent="0.25">
      <c r="D123"/>
    </row>
    <row r="124" spans="4:4" ht="66" customHeight="1" x14ac:dyDescent="0.25">
      <c r="D124"/>
    </row>
    <row r="125" spans="4:4" ht="66" customHeight="1" x14ac:dyDescent="0.25">
      <c r="D125"/>
    </row>
    <row r="126" spans="4:4" ht="66" customHeight="1" x14ac:dyDescent="0.25">
      <c r="D126"/>
    </row>
    <row r="127" spans="4:4" ht="66" customHeight="1" x14ac:dyDescent="0.25">
      <c r="D127"/>
    </row>
    <row r="128" spans="4:4" ht="66" customHeight="1" x14ac:dyDescent="0.25">
      <c r="D128"/>
    </row>
    <row r="129" spans="4:4" ht="66" customHeight="1" x14ac:dyDescent="0.25">
      <c r="D129"/>
    </row>
    <row r="130" spans="4:4" ht="66" customHeight="1" x14ac:dyDescent="0.25">
      <c r="D130"/>
    </row>
    <row r="131" spans="4:4" ht="66" customHeight="1" x14ac:dyDescent="0.25">
      <c r="D131"/>
    </row>
    <row r="132" spans="4:4" ht="66" customHeight="1" x14ac:dyDescent="0.25">
      <c r="D132"/>
    </row>
    <row r="133" spans="4:4" ht="66" customHeight="1" x14ac:dyDescent="0.25">
      <c r="D133"/>
    </row>
    <row r="134" spans="4:4" ht="66" customHeight="1" x14ac:dyDescent="0.25">
      <c r="D134"/>
    </row>
    <row r="135" spans="4:4" ht="66" customHeight="1" x14ac:dyDescent="0.25">
      <c r="D135"/>
    </row>
    <row r="136" spans="4:4" ht="66" customHeight="1" x14ac:dyDescent="0.25">
      <c r="D136"/>
    </row>
    <row r="137" spans="4:4" ht="66" customHeight="1" x14ac:dyDescent="0.25">
      <c r="D137"/>
    </row>
    <row r="138" spans="4:4" ht="66" customHeight="1" x14ac:dyDescent="0.25">
      <c r="D138"/>
    </row>
    <row r="139" spans="4:4" ht="66" customHeight="1" x14ac:dyDescent="0.25">
      <c r="D139"/>
    </row>
    <row r="140" spans="4:4" ht="66" customHeight="1" x14ac:dyDescent="0.25">
      <c r="D140"/>
    </row>
    <row r="141" spans="4:4" ht="66" customHeight="1" x14ac:dyDescent="0.25">
      <c r="D141"/>
    </row>
    <row r="142" spans="4:4" ht="66" customHeight="1" x14ac:dyDescent="0.25">
      <c r="D142"/>
    </row>
    <row r="143" spans="4:4" ht="66" customHeight="1" x14ac:dyDescent="0.25">
      <c r="D143"/>
    </row>
    <row r="144" spans="4:4" ht="66" customHeight="1" x14ac:dyDescent="0.25">
      <c r="D144"/>
    </row>
    <row r="145" spans="4:4" ht="66" customHeight="1" x14ac:dyDescent="0.25">
      <c r="D145"/>
    </row>
    <row r="146" spans="4:4" ht="66" customHeight="1" x14ac:dyDescent="0.25">
      <c r="D146"/>
    </row>
    <row r="147" spans="4:4" ht="66" customHeight="1" x14ac:dyDescent="0.25">
      <c r="D147"/>
    </row>
    <row r="148" spans="4:4" ht="66" customHeight="1" x14ac:dyDescent="0.25">
      <c r="D148"/>
    </row>
    <row r="149" spans="4:4" ht="66" customHeight="1" x14ac:dyDescent="0.25">
      <c r="D149"/>
    </row>
    <row r="150" spans="4:4" ht="66" customHeight="1" x14ac:dyDescent="0.25">
      <c r="D150"/>
    </row>
    <row r="151" spans="4:4" ht="66" customHeight="1" x14ac:dyDescent="0.25">
      <c r="D151"/>
    </row>
    <row r="152" spans="4:4" ht="66" customHeight="1" x14ac:dyDescent="0.25">
      <c r="D152"/>
    </row>
    <row r="153" spans="4:4" ht="66" customHeight="1" x14ac:dyDescent="0.25">
      <c r="D153"/>
    </row>
    <row r="154" spans="4:4" ht="66" customHeight="1" x14ac:dyDescent="0.25">
      <c r="D154"/>
    </row>
    <row r="155" spans="4:4" ht="66" customHeight="1" x14ac:dyDescent="0.25">
      <c r="D155"/>
    </row>
    <row r="156" spans="4:4" ht="66" customHeight="1" x14ac:dyDescent="0.25">
      <c r="D156"/>
    </row>
    <row r="157" spans="4:4" ht="66" customHeight="1" x14ac:dyDescent="0.25">
      <c r="D157"/>
    </row>
    <row r="158" spans="4:4" ht="66" customHeight="1" x14ac:dyDescent="0.25">
      <c r="D158"/>
    </row>
    <row r="159" spans="4:4" ht="66" customHeight="1" x14ac:dyDescent="0.25">
      <c r="D159"/>
    </row>
    <row r="160" spans="4:4" ht="66" customHeight="1" x14ac:dyDescent="0.25">
      <c r="D160"/>
    </row>
    <row r="161" spans="4:4" ht="66" customHeight="1" x14ac:dyDescent="0.25">
      <c r="D161"/>
    </row>
    <row r="162" spans="4:4" ht="66" customHeight="1" x14ac:dyDescent="0.25">
      <c r="D162"/>
    </row>
    <row r="163" spans="4:4" ht="66" customHeight="1" x14ac:dyDescent="0.25">
      <c r="D163"/>
    </row>
    <row r="164" spans="4:4" ht="66" customHeight="1" x14ac:dyDescent="0.25">
      <c r="D164"/>
    </row>
    <row r="165" spans="4:4" ht="66" customHeight="1" x14ac:dyDescent="0.25">
      <c r="D165"/>
    </row>
    <row r="166" spans="4:4" ht="66" customHeight="1" x14ac:dyDescent="0.25">
      <c r="D166"/>
    </row>
    <row r="167" spans="4:4" ht="66" customHeight="1" x14ac:dyDescent="0.25">
      <c r="D167"/>
    </row>
    <row r="168" spans="4:4" ht="66" customHeight="1" x14ac:dyDescent="0.25">
      <c r="D168"/>
    </row>
    <row r="169" spans="4:4" ht="66" customHeight="1" x14ac:dyDescent="0.25">
      <c r="D169"/>
    </row>
    <row r="170" spans="4:4" ht="66" customHeight="1" x14ac:dyDescent="0.25">
      <c r="D170"/>
    </row>
    <row r="171" spans="4:4" ht="66" customHeight="1" x14ac:dyDescent="0.25">
      <c r="D171"/>
    </row>
    <row r="172" spans="4:4" ht="66" customHeight="1" x14ac:dyDescent="0.25">
      <c r="D172"/>
    </row>
    <row r="173" spans="4:4" ht="66" customHeight="1" x14ac:dyDescent="0.25">
      <c r="D173"/>
    </row>
    <row r="174" spans="4:4" ht="66" customHeight="1" x14ac:dyDescent="0.25">
      <c r="D174"/>
    </row>
    <row r="175" spans="4:4" ht="66" customHeight="1" x14ac:dyDescent="0.25">
      <c r="D175"/>
    </row>
    <row r="176" spans="4:4" ht="66" customHeight="1" x14ac:dyDescent="0.25">
      <c r="D176"/>
    </row>
    <row r="177" spans="4:4" ht="66" customHeight="1" x14ac:dyDescent="0.25">
      <c r="D177"/>
    </row>
    <row r="178" spans="4:4" ht="66" customHeight="1" x14ac:dyDescent="0.25">
      <c r="D178"/>
    </row>
    <row r="179" spans="4:4" ht="66" customHeight="1" x14ac:dyDescent="0.25">
      <c r="D179"/>
    </row>
    <row r="180" spans="4:4" ht="66" customHeight="1" x14ac:dyDescent="0.25">
      <c r="D180"/>
    </row>
    <row r="181" spans="4:4" ht="66" customHeight="1" x14ac:dyDescent="0.25">
      <c r="D181"/>
    </row>
    <row r="182" spans="4:4" ht="66" customHeight="1" x14ac:dyDescent="0.25">
      <c r="D182"/>
    </row>
    <row r="183" spans="4:4" ht="66" customHeight="1" x14ac:dyDescent="0.25">
      <c r="D183"/>
    </row>
    <row r="184" spans="4:4" ht="66" customHeight="1" x14ac:dyDescent="0.25">
      <c r="D184"/>
    </row>
    <row r="185" spans="4:4" ht="66" customHeight="1" x14ac:dyDescent="0.25">
      <c r="D185"/>
    </row>
    <row r="186" spans="4:4" ht="66" customHeight="1" x14ac:dyDescent="0.25">
      <c r="D186"/>
    </row>
    <row r="187" spans="4:4" ht="66" customHeight="1" x14ac:dyDescent="0.25">
      <c r="D187"/>
    </row>
    <row r="188" spans="4:4" ht="66" customHeight="1" x14ac:dyDescent="0.25">
      <c r="D188"/>
    </row>
    <row r="189" spans="4:4" ht="66" customHeight="1" x14ac:dyDescent="0.25">
      <c r="D189"/>
    </row>
    <row r="190" spans="4:4" ht="66" customHeight="1" x14ac:dyDescent="0.25">
      <c r="D190"/>
    </row>
    <row r="191" spans="4:4" ht="66" customHeight="1" x14ac:dyDescent="0.25">
      <c r="D191"/>
    </row>
    <row r="192" spans="4:4" ht="66" customHeight="1" x14ac:dyDescent="0.25">
      <c r="D192"/>
    </row>
    <row r="193" spans="4:4" ht="66" customHeight="1" x14ac:dyDescent="0.25">
      <c r="D193"/>
    </row>
    <row r="194" spans="4:4" ht="66" customHeight="1" x14ac:dyDescent="0.25">
      <c r="D194"/>
    </row>
    <row r="195" spans="4:4" ht="66" customHeight="1" x14ac:dyDescent="0.25">
      <c r="D195"/>
    </row>
    <row r="196" spans="4:4" ht="66" customHeight="1" x14ac:dyDescent="0.25">
      <c r="D196"/>
    </row>
    <row r="197" spans="4:4" ht="66" customHeight="1" x14ac:dyDescent="0.25">
      <c r="D197"/>
    </row>
    <row r="198" spans="4:4" ht="66" customHeight="1" x14ac:dyDescent="0.25">
      <c r="D198"/>
    </row>
    <row r="199" spans="4:4" ht="66" customHeight="1" x14ac:dyDescent="0.25">
      <c r="D199"/>
    </row>
    <row r="200" spans="4:4" ht="66" customHeight="1" x14ac:dyDescent="0.25">
      <c r="D200"/>
    </row>
    <row r="201" spans="4:4" ht="66" customHeight="1" x14ac:dyDescent="0.25">
      <c r="D201"/>
    </row>
    <row r="202" spans="4:4" ht="66" customHeight="1" x14ac:dyDescent="0.25">
      <c r="D202"/>
    </row>
    <row r="203" spans="4:4" ht="66" customHeight="1" x14ac:dyDescent="0.25">
      <c r="D203"/>
    </row>
    <row r="204" spans="4:4" ht="66" customHeight="1" x14ac:dyDescent="0.25">
      <c r="D204"/>
    </row>
    <row r="205" spans="4:4" ht="66" customHeight="1" x14ac:dyDescent="0.25">
      <c r="D205"/>
    </row>
    <row r="206" spans="4:4" ht="66" customHeight="1" x14ac:dyDescent="0.25">
      <c r="D206"/>
    </row>
    <row r="207" spans="4:4" ht="66" customHeight="1" x14ac:dyDescent="0.25">
      <c r="D207"/>
    </row>
    <row r="208" spans="4:4" ht="66" customHeight="1" x14ac:dyDescent="0.25">
      <c r="D208"/>
    </row>
    <row r="209" spans="4:4" ht="66" customHeight="1" x14ac:dyDescent="0.25">
      <c r="D209"/>
    </row>
    <row r="210" spans="4:4" ht="66" customHeight="1" x14ac:dyDescent="0.25">
      <c r="D210"/>
    </row>
    <row r="211" spans="4:4" ht="66" customHeight="1" x14ac:dyDescent="0.25">
      <c r="D211"/>
    </row>
    <row r="212" spans="4:4" ht="66" customHeight="1" x14ac:dyDescent="0.25">
      <c r="D212"/>
    </row>
    <row r="213" spans="4:4" ht="66" customHeight="1" x14ac:dyDescent="0.25">
      <c r="D213"/>
    </row>
    <row r="214" spans="4:4" ht="66" customHeight="1" x14ac:dyDescent="0.25">
      <c r="D214"/>
    </row>
    <row r="215" spans="4:4" ht="66" customHeight="1" x14ac:dyDescent="0.25">
      <c r="D215"/>
    </row>
    <row r="216" spans="4:4" ht="66" customHeight="1" x14ac:dyDescent="0.25">
      <c r="D216"/>
    </row>
    <row r="217" spans="4:4" ht="66" customHeight="1" x14ac:dyDescent="0.25">
      <c r="D217"/>
    </row>
    <row r="218" spans="4:4" ht="66" customHeight="1" x14ac:dyDescent="0.25">
      <c r="D218"/>
    </row>
    <row r="219" spans="4:4" ht="66" customHeight="1" x14ac:dyDescent="0.25">
      <c r="D219"/>
    </row>
    <row r="220" spans="4:4" ht="66" customHeight="1" x14ac:dyDescent="0.25">
      <c r="D220"/>
    </row>
    <row r="221" spans="4:4" ht="66" customHeight="1" x14ac:dyDescent="0.25">
      <c r="D221"/>
    </row>
    <row r="222" spans="4:4" ht="66" customHeight="1" x14ac:dyDescent="0.25">
      <c r="D222"/>
    </row>
    <row r="223" spans="4:4" ht="66" customHeight="1" x14ac:dyDescent="0.25">
      <c r="D223"/>
    </row>
    <row r="224" spans="4:4" ht="66" customHeight="1" x14ac:dyDescent="0.25">
      <c r="D224"/>
    </row>
    <row r="225" spans="4:4" ht="66" customHeight="1" x14ac:dyDescent="0.25">
      <c r="D225"/>
    </row>
    <row r="226" spans="4:4" ht="66" customHeight="1" x14ac:dyDescent="0.25">
      <c r="D226"/>
    </row>
    <row r="227" spans="4:4" ht="66" customHeight="1" x14ac:dyDescent="0.25">
      <c r="D227"/>
    </row>
    <row r="228" spans="4:4" ht="66" customHeight="1" x14ac:dyDescent="0.25">
      <c r="D228"/>
    </row>
    <row r="229" spans="4:4" ht="66" customHeight="1" x14ac:dyDescent="0.25">
      <c r="D229"/>
    </row>
    <row r="230" spans="4:4" ht="66" customHeight="1" x14ac:dyDescent="0.25">
      <c r="D230"/>
    </row>
    <row r="231" spans="4:4" ht="66" customHeight="1" x14ac:dyDescent="0.25">
      <c r="D231"/>
    </row>
    <row r="232" spans="4:4" ht="66" customHeight="1" x14ac:dyDescent="0.25">
      <c r="D232"/>
    </row>
    <row r="233" spans="4:4" ht="66" customHeight="1" x14ac:dyDescent="0.25">
      <c r="D233"/>
    </row>
    <row r="234" spans="4:4" ht="66" customHeight="1" x14ac:dyDescent="0.25">
      <c r="D234"/>
    </row>
    <row r="235" spans="4:4" ht="66" customHeight="1" x14ac:dyDescent="0.25">
      <c r="D235"/>
    </row>
    <row r="236" spans="4:4" ht="66" customHeight="1" x14ac:dyDescent="0.25">
      <c r="D236"/>
    </row>
    <row r="237" spans="4:4" ht="66" customHeight="1" x14ac:dyDescent="0.25">
      <c r="D237"/>
    </row>
    <row r="238" spans="4:4" ht="66" customHeight="1" x14ac:dyDescent="0.25">
      <c r="D238"/>
    </row>
    <row r="239" spans="4:4" ht="66" customHeight="1" x14ac:dyDescent="0.25">
      <c r="D239"/>
    </row>
    <row r="240" spans="4:4" ht="66" customHeight="1" x14ac:dyDescent="0.25">
      <c r="D240"/>
    </row>
    <row r="241" spans="4:4" ht="66" customHeight="1" x14ac:dyDescent="0.25">
      <c r="D241"/>
    </row>
    <row r="242" spans="4:4" ht="66" customHeight="1" x14ac:dyDescent="0.25">
      <c r="D242"/>
    </row>
    <row r="243" spans="4:4" ht="66" customHeight="1" x14ac:dyDescent="0.25">
      <c r="D243"/>
    </row>
    <row r="244" spans="4:4" ht="66" customHeight="1" x14ac:dyDescent="0.25">
      <c r="D244"/>
    </row>
    <row r="245" spans="4:4" ht="66" customHeight="1" x14ac:dyDescent="0.25">
      <c r="D245"/>
    </row>
    <row r="246" spans="4:4" ht="66" customHeight="1" x14ac:dyDescent="0.25">
      <c r="D246"/>
    </row>
    <row r="247" spans="4:4" ht="66" customHeight="1" x14ac:dyDescent="0.25">
      <c r="D247"/>
    </row>
    <row r="248" spans="4:4" ht="66" customHeight="1" x14ac:dyDescent="0.25">
      <c r="D248"/>
    </row>
    <row r="249" spans="4:4" ht="66" customHeight="1" x14ac:dyDescent="0.25">
      <c r="D249"/>
    </row>
    <row r="250" spans="4:4" ht="66" customHeight="1" x14ac:dyDescent="0.25">
      <c r="D250"/>
    </row>
    <row r="251" spans="4:4" ht="66" customHeight="1" x14ac:dyDescent="0.25">
      <c r="D251"/>
    </row>
    <row r="252" spans="4:4" ht="66" customHeight="1" x14ac:dyDescent="0.25">
      <c r="D252"/>
    </row>
    <row r="253" spans="4:4" ht="66" customHeight="1" x14ac:dyDescent="0.25">
      <c r="D253"/>
    </row>
    <row r="254" spans="4:4" ht="66" customHeight="1" x14ac:dyDescent="0.25">
      <c r="D254"/>
    </row>
    <row r="255" spans="4:4" ht="66" customHeight="1" x14ac:dyDescent="0.25">
      <c r="D255"/>
    </row>
    <row r="256" spans="4:4" ht="66" customHeight="1" x14ac:dyDescent="0.25">
      <c r="D256"/>
    </row>
    <row r="257" spans="4:4" ht="66" customHeight="1" x14ac:dyDescent="0.25">
      <c r="D257"/>
    </row>
    <row r="258" spans="4:4" ht="66" customHeight="1" x14ac:dyDescent="0.25">
      <c r="D258"/>
    </row>
    <row r="259" spans="4:4" ht="66" customHeight="1" x14ac:dyDescent="0.25">
      <c r="D259"/>
    </row>
    <row r="260" spans="4:4" ht="66" customHeight="1" x14ac:dyDescent="0.25">
      <c r="D260"/>
    </row>
    <row r="261" spans="4:4" ht="66" customHeight="1" x14ac:dyDescent="0.25">
      <c r="D261"/>
    </row>
    <row r="262" spans="4:4" ht="66" customHeight="1" x14ac:dyDescent="0.25">
      <c r="D262"/>
    </row>
    <row r="263" spans="4:4" ht="66" customHeight="1" x14ac:dyDescent="0.25">
      <c r="D263"/>
    </row>
    <row r="264" spans="4:4" ht="66" customHeight="1" x14ac:dyDescent="0.25">
      <c r="D264"/>
    </row>
    <row r="265" spans="4:4" ht="66" customHeight="1" x14ac:dyDescent="0.25">
      <c r="D265"/>
    </row>
    <row r="266" spans="4:4" ht="66" customHeight="1" x14ac:dyDescent="0.25">
      <c r="D266"/>
    </row>
    <row r="267" spans="4:4" ht="66" customHeight="1" x14ac:dyDescent="0.25">
      <c r="D267"/>
    </row>
    <row r="268" spans="4:4" ht="66" customHeight="1" x14ac:dyDescent="0.25">
      <c r="D268"/>
    </row>
    <row r="269" spans="4:4" ht="66" customHeight="1" x14ac:dyDescent="0.25">
      <c r="D269"/>
    </row>
    <row r="270" spans="4:4" ht="66" customHeight="1" x14ac:dyDescent="0.25">
      <c r="D270"/>
    </row>
    <row r="271" spans="4:4" ht="66" customHeight="1" x14ac:dyDescent="0.25">
      <c r="D271"/>
    </row>
    <row r="272" spans="4:4" ht="66" customHeight="1" x14ac:dyDescent="0.25">
      <c r="D272"/>
    </row>
    <row r="273" spans="4:4" ht="66" customHeight="1" x14ac:dyDescent="0.25">
      <c r="D273"/>
    </row>
    <row r="274" spans="4:4" ht="66" customHeight="1" x14ac:dyDescent="0.25">
      <c r="D274"/>
    </row>
    <row r="275" spans="4:4" ht="66" customHeight="1" x14ac:dyDescent="0.25">
      <c r="D275"/>
    </row>
    <row r="276" spans="4:4" ht="66" customHeight="1" x14ac:dyDescent="0.25">
      <c r="D276"/>
    </row>
    <row r="277" spans="4:4" ht="66" customHeight="1" x14ac:dyDescent="0.25">
      <c r="D277"/>
    </row>
    <row r="278" spans="4:4" ht="66" customHeight="1" x14ac:dyDescent="0.25">
      <c r="D278"/>
    </row>
    <row r="279" spans="4:4" ht="66" customHeight="1" x14ac:dyDescent="0.25">
      <c r="D279"/>
    </row>
    <row r="280" spans="4:4" ht="66" customHeight="1" x14ac:dyDescent="0.25">
      <c r="D280"/>
    </row>
    <row r="281" spans="4:4" ht="66" customHeight="1" x14ac:dyDescent="0.25">
      <c r="D281"/>
    </row>
    <row r="282" spans="4:4" ht="66" customHeight="1" x14ac:dyDescent="0.25">
      <c r="D282"/>
    </row>
    <row r="283" spans="4:4" ht="66" customHeight="1" x14ac:dyDescent="0.25">
      <c r="D283"/>
    </row>
    <row r="284" spans="4:4" ht="66" customHeight="1" x14ac:dyDescent="0.25">
      <c r="D284"/>
    </row>
    <row r="285" spans="4:4" ht="66" customHeight="1" x14ac:dyDescent="0.25">
      <c r="D285"/>
    </row>
    <row r="286" spans="4:4" ht="66" customHeight="1" x14ac:dyDescent="0.25">
      <c r="D286"/>
    </row>
    <row r="287" spans="4:4" ht="66" customHeight="1" x14ac:dyDescent="0.25">
      <c r="D287"/>
    </row>
    <row r="288" spans="4:4" ht="66" customHeight="1" x14ac:dyDescent="0.25">
      <c r="D288"/>
    </row>
    <row r="289" spans="4:4" ht="66" customHeight="1" x14ac:dyDescent="0.25">
      <c r="D289"/>
    </row>
    <row r="290" spans="4:4" ht="66" customHeight="1" x14ac:dyDescent="0.25">
      <c r="D290"/>
    </row>
    <row r="291" spans="4:4" ht="66" customHeight="1" x14ac:dyDescent="0.25">
      <c r="D291"/>
    </row>
    <row r="292" spans="4:4" ht="66" customHeight="1" x14ac:dyDescent="0.25">
      <c r="D292"/>
    </row>
    <row r="293" spans="4:4" ht="66" customHeight="1" x14ac:dyDescent="0.25">
      <c r="D293"/>
    </row>
    <row r="294" spans="4:4" ht="66" customHeight="1" x14ac:dyDescent="0.25">
      <c r="D294"/>
    </row>
    <row r="295" spans="4:4" ht="66" customHeight="1" x14ac:dyDescent="0.25">
      <c r="D295"/>
    </row>
    <row r="296" spans="4:4" ht="66" customHeight="1" x14ac:dyDescent="0.25">
      <c r="D296"/>
    </row>
    <row r="297" spans="4:4" ht="66" customHeight="1" x14ac:dyDescent="0.25">
      <c r="D297"/>
    </row>
    <row r="298" spans="4:4" ht="66" customHeight="1" x14ac:dyDescent="0.25">
      <c r="D298"/>
    </row>
    <row r="299" spans="4:4" ht="66" customHeight="1" x14ac:dyDescent="0.25">
      <c r="D299"/>
    </row>
    <row r="300" spans="4:4" ht="66" customHeight="1" x14ac:dyDescent="0.25">
      <c r="D300"/>
    </row>
    <row r="301" spans="4:4" ht="66" customHeight="1" x14ac:dyDescent="0.25">
      <c r="D301"/>
    </row>
    <row r="302" spans="4:4" ht="66" customHeight="1" x14ac:dyDescent="0.25">
      <c r="D302"/>
    </row>
    <row r="303" spans="4:4" ht="66" customHeight="1" x14ac:dyDescent="0.25">
      <c r="D303"/>
    </row>
    <row r="304" spans="4:4" ht="66" customHeight="1" x14ac:dyDescent="0.25">
      <c r="D304"/>
    </row>
    <row r="305" spans="4:4" ht="66" customHeight="1" x14ac:dyDescent="0.25">
      <c r="D305"/>
    </row>
  </sheetData>
  <sortState ref="A3:X262">
    <sortCondition ref="A3:A262"/>
  </sortState>
  <mergeCells count="2">
    <mergeCell ref="A1:K1"/>
    <mergeCell ref="V1:W1"/>
  </mergeCells>
  <phoneticPr fontId="2" type="noConversion"/>
  <conditionalFormatting sqref="O3:O17 O35 S3:S17">
    <cfRule type="containsText" dxfId="322" priority="283" operator="containsText" text="Med-High">
      <formula>NOT(ISERROR(SEARCH("Med-High",O3)))</formula>
    </cfRule>
  </conditionalFormatting>
  <conditionalFormatting sqref="O3:O17 S3:S17 O19:O25 S19:S25 O35">
    <cfRule type="containsText" dxfId="321" priority="336" operator="containsText" text="Extreme">
      <formula>NOT(ISERROR(SEARCH("Extreme",O3)))</formula>
    </cfRule>
    <cfRule type="containsText" dxfId="320" priority="335" operator="containsText" text="High">
      <formula>NOT(ISERROR(SEARCH("High",O3)))</formula>
    </cfRule>
    <cfRule type="containsText" dxfId="319" priority="334" operator="containsText" text="Medium">
      <formula>NOT(ISERROR(SEARCH("Medium",O3)))</formula>
    </cfRule>
  </conditionalFormatting>
  <conditionalFormatting sqref="O3:O17 S3:S17 O35">
    <cfRule type="containsText" dxfId="318" priority="284" operator="containsText" text="Extreme">
      <formula>NOT(ISERROR(SEARCH("Extreme",O3)))</formula>
    </cfRule>
  </conditionalFormatting>
  <conditionalFormatting sqref="O3:O18">
    <cfRule type="containsText" dxfId="317" priority="265" operator="containsText" text="Low">
      <formula>NOT(ISERROR(SEARCH("Low",O3)))</formula>
    </cfRule>
  </conditionalFormatting>
  <conditionalFormatting sqref="O3:O21 S34:S37 O33:O35">
    <cfRule type="containsText" dxfId="316" priority="270" operator="containsText" text="Medium">
      <formula>NOT(ISERROR(SEARCH("Medium",O3)))</formula>
    </cfRule>
  </conditionalFormatting>
  <conditionalFormatting sqref="O18">
    <cfRule type="containsText" dxfId="315" priority="271" operator="containsText" text="High">
      <formula>NOT(ISERROR(SEARCH("High",O18)))</formula>
    </cfRule>
    <cfRule type="containsText" dxfId="314" priority="268" operator="containsText" text="Extreme">
      <formula>NOT(ISERROR(SEARCH("Extreme",O18)))</formula>
    </cfRule>
    <cfRule type="containsText" dxfId="313" priority="266" operator="containsText" text="Medium">
      <formula>NOT(ISERROR(SEARCH("Medium",O18)))</formula>
    </cfRule>
  </conditionalFormatting>
  <conditionalFormatting sqref="O18:O20 O33:O34 S34:S37">
    <cfRule type="containsText" dxfId="312" priority="272" operator="containsText" text="Extreme">
      <formula>NOT(ISERROR(SEARCH("Extreme",O18)))</formula>
    </cfRule>
  </conditionalFormatting>
  <conditionalFormatting sqref="O18:O21 S18:S21">
    <cfRule type="containsText" dxfId="311" priority="2" operator="containsText" text="Med-High">
      <formula>NOT(ISERROR(SEARCH("Med-High",O18)))</formula>
    </cfRule>
  </conditionalFormatting>
  <conditionalFormatting sqref="O21 S21">
    <cfRule type="containsText" dxfId="310" priority="3" operator="containsText" text="Extreme">
      <formula>NOT(ISERROR(SEARCH("Extreme",O21)))</formula>
    </cfRule>
  </conditionalFormatting>
  <conditionalFormatting sqref="O21">
    <cfRule type="containsText" dxfId="309" priority="1" operator="containsText" text="Low">
      <formula>NOT(ISERROR(SEARCH("Low",O21)))</formula>
    </cfRule>
  </conditionalFormatting>
  <conditionalFormatting sqref="O22:O26">
    <cfRule type="containsText" dxfId="308" priority="176" operator="containsText" text="Extreme">
      <formula>NOT(ISERROR(SEARCH("Extreme",O22)))</formula>
    </cfRule>
    <cfRule type="containsText" dxfId="307" priority="174" operator="containsText" text="Medium">
      <formula>NOT(ISERROR(SEARCH("Medium",O22)))</formula>
    </cfRule>
    <cfRule type="containsText" dxfId="306" priority="173" operator="containsText" text="Low">
      <formula>NOT(ISERROR(SEARCH("Low",O22)))</formula>
    </cfRule>
  </conditionalFormatting>
  <conditionalFormatting sqref="O22:O51 S22:S51">
    <cfRule type="containsText" dxfId="305" priority="35" operator="containsText" text="Med-High">
      <formula>NOT(ISERROR(SEARCH("Med-High",O22)))</formula>
    </cfRule>
  </conditionalFormatting>
  <conditionalFormatting sqref="O26">
    <cfRule type="containsText" dxfId="304" priority="175" operator="containsText" text="High">
      <formula>NOT(ISERROR(SEARCH("High",O26)))</formula>
    </cfRule>
  </conditionalFormatting>
  <conditionalFormatting sqref="O26:O27">
    <cfRule type="containsText" dxfId="303" priority="160" operator="containsText" text="Extreme">
      <formula>NOT(ISERROR(SEARCH("Extreme",O26)))</formula>
    </cfRule>
    <cfRule type="containsText" dxfId="302" priority="158" operator="containsText" text="Medium">
      <formula>NOT(ISERROR(SEARCH("Medium",O26)))</formula>
    </cfRule>
    <cfRule type="containsText" dxfId="301" priority="157" operator="containsText" text="Low">
      <formula>NOT(ISERROR(SEARCH("Low",O26)))</formula>
    </cfRule>
  </conditionalFormatting>
  <conditionalFormatting sqref="O27">
    <cfRule type="containsText" dxfId="300" priority="159" operator="containsText" text="High">
      <formula>NOT(ISERROR(SEARCH("High",O27)))</formula>
    </cfRule>
  </conditionalFormatting>
  <conditionalFormatting sqref="O27:O28">
    <cfRule type="containsText" dxfId="299" priority="142" operator="containsText" text="Medium">
      <formula>NOT(ISERROR(SEARCH("Medium",O27)))</formula>
    </cfRule>
    <cfRule type="containsText" dxfId="298" priority="144" operator="containsText" text="Extreme">
      <formula>NOT(ISERROR(SEARCH("Extreme",O27)))</formula>
    </cfRule>
    <cfRule type="containsText" dxfId="297" priority="141" operator="containsText" text="Low">
      <formula>NOT(ISERROR(SEARCH("Low",O27)))</formula>
    </cfRule>
  </conditionalFormatting>
  <conditionalFormatting sqref="O28">
    <cfRule type="containsText" dxfId="296" priority="143" operator="containsText" text="High">
      <formula>NOT(ISERROR(SEARCH("High",O28)))</formula>
    </cfRule>
  </conditionalFormatting>
  <conditionalFormatting sqref="O28:O29">
    <cfRule type="containsText" dxfId="295" priority="126" operator="containsText" text="Medium">
      <formula>NOT(ISERROR(SEARCH("Medium",O28)))</formula>
    </cfRule>
    <cfRule type="containsText" dxfId="294" priority="125" operator="containsText" text="Low">
      <formula>NOT(ISERROR(SEARCH("Low",O28)))</formula>
    </cfRule>
    <cfRule type="containsText" dxfId="293" priority="128" operator="containsText" text="Extreme">
      <formula>NOT(ISERROR(SEARCH("Extreme",O28)))</formula>
    </cfRule>
  </conditionalFormatting>
  <conditionalFormatting sqref="O29">
    <cfRule type="containsText" dxfId="292" priority="127" operator="containsText" text="High">
      <formula>NOT(ISERROR(SEARCH("High",O29)))</formula>
    </cfRule>
  </conditionalFormatting>
  <conditionalFormatting sqref="O29:O30 S29:S30">
    <cfRule type="containsText" dxfId="291" priority="112" operator="containsText" text="Extreme">
      <formula>NOT(ISERROR(SEARCH("Extreme",O29)))</formula>
    </cfRule>
    <cfRule type="containsText" dxfId="290" priority="110" operator="containsText" text="Medium">
      <formula>NOT(ISERROR(SEARCH("Medium",O29)))</formula>
    </cfRule>
    <cfRule type="containsText" dxfId="289" priority="109" operator="containsText" text="Low">
      <formula>NOT(ISERROR(SEARCH("Low",O29)))</formula>
    </cfRule>
  </conditionalFormatting>
  <conditionalFormatting sqref="O30 S30">
    <cfRule type="containsText" dxfId="288" priority="111" operator="containsText" text="High">
      <formula>NOT(ISERROR(SEARCH("High",O30)))</formula>
    </cfRule>
  </conditionalFormatting>
  <conditionalFormatting sqref="O30:O32">
    <cfRule type="containsText" dxfId="287" priority="102" operator="containsText" text="Medium">
      <formula>NOT(ISERROR(SEARCH("Medium",O30)))</formula>
    </cfRule>
    <cfRule type="containsText" dxfId="286" priority="104" operator="containsText" text="Extreme">
      <formula>NOT(ISERROR(SEARCH("Extreme",O30)))</formula>
    </cfRule>
    <cfRule type="containsText" dxfId="285" priority="101" operator="containsText" text="Low">
      <formula>NOT(ISERROR(SEARCH("Low",O30)))</formula>
    </cfRule>
  </conditionalFormatting>
  <conditionalFormatting sqref="O31:O51 S38:S51">
    <cfRule type="containsText" dxfId="284" priority="38" operator="containsText" text="Medium">
      <formula>NOT(ISERROR(SEARCH("Medium",O31)))</formula>
    </cfRule>
  </conditionalFormatting>
  <conditionalFormatting sqref="O31:O51">
    <cfRule type="containsText" dxfId="283" priority="103" operator="containsText" text="High">
      <formula>NOT(ISERROR(SEARCH("High",O31)))</formula>
    </cfRule>
  </conditionalFormatting>
  <conditionalFormatting sqref="O38:O51 S38:S51">
    <cfRule type="containsText" dxfId="282" priority="20" operator="containsText" text="Low">
      <formula>NOT(ISERROR(SEARCH("Low",O38)))</formula>
    </cfRule>
    <cfRule type="containsText" dxfId="281" priority="21" operator="containsText" text="Medium">
      <formula>NOT(ISERROR(SEARCH("Medium",O38)))</formula>
    </cfRule>
    <cfRule type="containsText" dxfId="280" priority="36" operator="containsText" text="Extreme">
      <formula>NOT(ISERROR(SEARCH("Extreme",O38)))</formula>
    </cfRule>
    <cfRule type="containsText" dxfId="279" priority="37" operator="containsText" text="Low">
      <formula>NOT(ISERROR(SEARCH("Low",O38)))</formula>
    </cfRule>
  </conditionalFormatting>
  <conditionalFormatting sqref="S3:S17 O3:O25 O31:O37 S31:S37 S19:S25">
    <cfRule type="containsText" dxfId="278" priority="333" operator="containsText" text="Low">
      <formula>NOT(ISERROR(SEARCH("Low",O3)))</formula>
    </cfRule>
  </conditionalFormatting>
  <conditionalFormatting sqref="S3:S21">
    <cfRule type="containsText" dxfId="277" priority="245" operator="containsText" text="Low">
      <formula>NOT(ISERROR(SEARCH("Low",S3)))</formula>
    </cfRule>
    <cfRule type="containsText" dxfId="276" priority="246" operator="containsText" text="Medium">
      <formula>NOT(ISERROR(SEARCH("Medium",S3)))</formula>
    </cfRule>
  </conditionalFormatting>
  <conditionalFormatting sqref="S18">
    <cfRule type="containsText" dxfId="275" priority="210" operator="containsText" text="Medium">
      <formula>NOT(ISERROR(SEARCH("Medium",S18)))</formula>
    </cfRule>
    <cfRule type="containsText" dxfId="274" priority="215" operator="containsText" text="High">
      <formula>NOT(ISERROR(SEARCH("High",S18)))</formula>
    </cfRule>
    <cfRule type="containsText" dxfId="273" priority="209" operator="containsText" text="Low">
      <formula>NOT(ISERROR(SEARCH("Low",S18)))</formula>
    </cfRule>
    <cfRule type="containsText" dxfId="272" priority="212" operator="containsText" text="Extreme">
      <formula>NOT(ISERROR(SEARCH("Extreme",S18)))</formula>
    </cfRule>
  </conditionalFormatting>
  <conditionalFormatting sqref="S18:S20">
    <cfRule type="containsText" dxfId="271" priority="248" operator="containsText" text="Extreme">
      <formula>NOT(ISERROR(SEARCH("Extreme",S18)))</formula>
    </cfRule>
  </conditionalFormatting>
  <conditionalFormatting sqref="S22:S26">
    <cfRule type="containsText" dxfId="270" priority="168" operator="containsText" text="Extreme">
      <formula>NOT(ISERROR(SEARCH("Extreme",S22)))</formula>
    </cfRule>
    <cfRule type="containsText" dxfId="269" priority="166" operator="containsText" text="Medium">
      <formula>NOT(ISERROR(SEARCH("Medium",S22)))</formula>
    </cfRule>
    <cfRule type="containsText" dxfId="268" priority="165" operator="containsText" text="Low">
      <formula>NOT(ISERROR(SEARCH("Low",S22)))</formula>
    </cfRule>
  </conditionalFormatting>
  <conditionalFormatting sqref="S26">
    <cfRule type="containsText" dxfId="267" priority="167" operator="containsText" text="High">
      <formula>NOT(ISERROR(SEARCH("High",S26)))</formula>
    </cfRule>
  </conditionalFormatting>
  <conditionalFormatting sqref="S26:S27">
    <cfRule type="containsText" dxfId="266" priority="149" operator="containsText" text="Low">
      <formula>NOT(ISERROR(SEARCH("Low",S26)))</formula>
    </cfRule>
    <cfRule type="containsText" dxfId="265" priority="150" operator="containsText" text="Medium">
      <formula>NOT(ISERROR(SEARCH("Medium",S26)))</formula>
    </cfRule>
    <cfRule type="containsText" dxfId="264" priority="152" operator="containsText" text="Extreme">
      <formula>NOT(ISERROR(SEARCH("Extreme",S26)))</formula>
    </cfRule>
  </conditionalFormatting>
  <conditionalFormatting sqref="S27">
    <cfRule type="containsText" dxfId="263" priority="151" operator="containsText" text="High">
      <formula>NOT(ISERROR(SEARCH("High",S27)))</formula>
    </cfRule>
  </conditionalFormatting>
  <conditionalFormatting sqref="S27:S28">
    <cfRule type="containsText" dxfId="262" priority="136" operator="containsText" text="Extreme">
      <formula>NOT(ISERROR(SEARCH("Extreme",S27)))</formula>
    </cfRule>
    <cfRule type="containsText" dxfId="261" priority="134" operator="containsText" text="Medium">
      <formula>NOT(ISERROR(SEARCH("Medium",S27)))</formula>
    </cfRule>
    <cfRule type="containsText" dxfId="260" priority="133" operator="containsText" text="Low">
      <formula>NOT(ISERROR(SEARCH("Low",S27)))</formula>
    </cfRule>
  </conditionalFormatting>
  <conditionalFormatting sqref="S28">
    <cfRule type="containsText" dxfId="259" priority="135" operator="containsText" text="High">
      <formula>NOT(ISERROR(SEARCH("High",S28)))</formula>
    </cfRule>
  </conditionalFormatting>
  <conditionalFormatting sqref="S28:S29">
    <cfRule type="containsText" dxfId="258" priority="117" operator="containsText" text="Low">
      <formula>NOT(ISERROR(SEARCH("Low",S28)))</formula>
    </cfRule>
    <cfRule type="containsText" dxfId="257" priority="118" operator="containsText" text="Medium">
      <formula>NOT(ISERROR(SEARCH("Medium",S28)))</formula>
    </cfRule>
    <cfRule type="containsText" dxfId="256" priority="120" operator="containsText" text="Extreme">
      <formula>NOT(ISERROR(SEARCH("Extreme",S28)))</formula>
    </cfRule>
  </conditionalFormatting>
  <conditionalFormatting sqref="S29">
    <cfRule type="containsText" dxfId="255" priority="119" operator="containsText" text="High">
      <formula>NOT(ISERROR(SEARCH("High",S29)))</formula>
    </cfRule>
  </conditionalFormatting>
  <conditionalFormatting sqref="S30:S32">
    <cfRule type="containsText" dxfId="254" priority="94" operator="containsText" text="Medium">
      <formula>NOT(ISERROR(SEARCH("Medium",S30)))</formula>
    </cfRule>
    <cfRule type="containsText" dxfId="253" priority="93" operator="containsText" text="Low">
      <formula>NOT(ISERROR(SEARCH("Low",S30)))</formula>
    </cfRule>
    <cfRule type="containsText" dxfId="252" priority="96" operator="containsText" text="Extreme">
      <formula>NOT(ISERROR(SEARCH("Extreme",S30)))</formula>
    </cfRule>
  </conditionalFormatting>
  <conditionalFormatting sqref="S31:S33">
    <cfRule type="containsText" dxfId="251" priority="88" operator="containsText" text="Extreme">
      <formula>NOT(ISERROR(SEARCH("Extreme",S31)))</formula>
    </cfRule>
    <cfRule type="containsText" dxfId="250" priority="95" operator="containsText" text="High">
      <formula>NOT(ISERROR(SEARCH("High",S31)))</formula>
    </cfRule>
    <cfRule type="containsText" dxfId="249" priority="86" operator="containsText" text="Medium">
      <formula>NOT(ISERROR(SEARCH("Medium",S31)))</formula>
    </cfRule>
  </conditionalFormatting>
  <conditionalFormatting sqref="S33:S35">
    <cfRule type="containsText" dxfId="248" priority="72" operator="containsText" text="Extreme">
      <formula>NOT(ISERROR(SEARCH("Extreme",S33)))</formula>
    </cfRule>
    <cfRule type="containsText" dxfId="247" priority="281" operator="containsText" text="Low">
      <formula>NOT(ISERROR(SEARCH("Low",S33)))</formula>
    </cfRule>
    <cfRule type="containsText" dxfId="246" priority="282" operator="containsText" text="Medium">
      <formula>NOT(ISERROR(SEARCH("Medium",S33)))</formula>
    </cfRule>
  </conditionalFormatting>
  <conditionalFormatting sqref="S34">
    <cfRule type="containsText" dxfId="245" priority="71" operator="containsText" text="High">
      <formula>NOT(ISERROR(SEARCH("High",S34)))</formula>
    </cfRule>
  </conditionalFormatting>
  <conditionalFormatting sqref="S35">
    <cfRule type="containsText" dxfId="244" priority="229" operator="containsText" text="Low">
      <formula>NOT(ISERROR(SEARCH("Low",S35)))</formula>
    </cfRule>
    <cfRule type="containsText" dxfId="243" priority="231" operator="containsText" text="High">
      <formula>NOT(ISERROR(SEARCH("High",S35)))</formula>
    </cfRule>
    <cfRule type="containsText" dxfId="242" priority="232" operator="containsText" text="Extreme">
      <formula>NOT(ISERROR(SEARCH("Extreme",S35)))</formula>
    </cfRule>
    <cfRule type="containsText" dxfId="241" priority="230" operator="containsText" text="Medium">
      <formula>NOT(ISERROR(SEARCH("Medium",S35)))</formula>
    </cfRule>
  </conditionalFormatting>
  <conditionalFormatting sqref="S35:S37">
    <cfRule type="containsText" dxfId="240" priority="247" operator="containsText" text="High">
      <formula>NOT(ISERROR(SEARCH("High",S35)))</formula>
    </cfRule>
  </conditionalFormatting>
  <conditionalFormatting sqref="S38:S51 O31:O51">
    <cfRule type="containsText" dxfId="239" priority="40" operator="containsText" text="Extreme">
      <formula>NOT(ISERROR(SEARCH("Extreme",O31)))</formula>
    </cfRule>
  </conditionalFormatting>
  <conditionalFormatting sqref="S38:S51">
    <cfRule type="containsText" dxfId="238" priority="39" operator="containsText" text="High">
      <formula>NOT(ISERROR(SEARCH("High",S38)))</formula>
    </cfRule>
  </conditionalFormatting>
  <dataValidations count="1">
    <dataValidation type="list" allowBlank="1" showInputMessage="1" showErrorMessage="1" sqref="S3:S51 O3:O51">
      <formula1>"Low,Medium,Med-High,High"</formula1>
    </dataValidation>
  </dataValidations>
  <pageMargins left="0.23622047244094491" right="0.23622047244094491" top="0.98425196850393704" bottom="0.98425196850393704" header="0.51181102362204722" footer="0.51181102362204722"/>
  <pageSetup paperSize="8" scale="47" fitToHeight="0" orientation="landscape" r:id="rId1"/>
  <headerFooter alignWithMargins="0">
    <oddHeader>&amp;L&amp;"Calibri"&amp;10&amp;K000000 Uniphar Classification: Confidential&amp;1#_x000D_</oddHeader>
    <oddFooter>&amp;L_x000D_&amp;1#&amp;"Calibri"&amp;10&amp;K000000 Uniphar Classification: Confidential</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'Look ups'!$A$3:$A$6</xm:f>
          </x14:formula1>
          <xm:sqref>T3:T15 T17:T24 T26:T31 T33:T39 T41:T51</xm:sqref>
        </x14:dataValidation>
        <x14:dataValidation type="list" allowBlank="1" showInputMessage="1" showErrorMessage="1">
          <x14:formula1>
            <xm:f>'Rating Tables'!$C$27:$C$48</xm:f>
          </x14:formula1>
          <xm:sqref>C3:C15 C41:C51 C26:C31 C33:C39 C17:C24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287"/>
  <sheetViews>
    <sheetView zoomScale="90" zoomScaleNormal="90" workbookViewId="0">
      <pane xSplit="2" ySplit="2" topLeftCell="C3" activePane="bottomRight" state="frozen"/>
      <selection pane="topRight" activeCell="C1" sqref="C1"/>
      <selection pane="bottomLeft" activeCell="A3" sqref="A3"/>
      <selection pane="bottomRight" activeCell="D4" sqref="D4"/>
    </sheetView>
  </sheetViews>
  <sheetFormatPr defaultRowHeight="13.2" x14ac:dyDescent="0.25"/>
  <cols>
    <col min="1" max="1" width="17.44140625" customWidth="1"/>
    <col min="2" max="2" width="22.21875" customWidth="1"/>
    <col min="3" max="3" width="15.44140625" style="3" customWidth="1"/>
    <col min="4" max="5" width="53.44140625" customWidth="1"/>
    <col min="6" max="6" width="20.21875" customWidth="1"/>
    <col min="7" max="7" width="12.21875" customWidth="1"/>
    <col min="8" max="8" width="28.5546875" customWidth="1"/>
    <col min="9" max="9" width="12.5546875" customWidth="1"/>
    <col min="10" max="10" width="11.44140625" customWidth="1"/>
    <col min="11" max="11" width="33.21875" customWidth="1"/>
    <col min="12" max="14" width="9.5546875" customWidth="1"/>
    <col min="15" max="15" width="17.5546875" customWidth="1"/>
    <col min="16" max="18" width="11.21875" customWidth="1"/>
  </cols>
  <sheetData>
    <row r="1" spans="1:23" ht="24" customHeight="1" x14ac:dyDescent="0.25">
      <c r="A1" s="155" t="s">
        <v>1</v>
      </c>
      <c r="B1" s="156"/>
      <c r="C1" s="156"/>
      <c r="D1" s="156"/>
      <c r="E1" s="156"/>
      <c r="F1" s="156"/>
      <c r="G1" s="156"/>
      <c r="H1" s="156"/>
      <c r="I1" s="156"/>
      <c r="J1" s="156"/>
      <c r="K1" s="156"/>
      <c r="L1" s="74" t="s">
        <v>2</v>
      </c>
      <c r="M1" s="74"/>
      <c r="N1" s="74"/>
      <c r="O1" s="74"/>
      <c r="P1" s="74"/>
      <c r="Q1" s="74"/>
      <c r="R1" s="74"/>
      <c r="S1" s="74"/>
      <c r="T1" s="74"/>
      <c r="U1" s="158" t="s">
        <v>3</v>
      </c>
      <c r="V1" s="158"/>
      <c r="W1" s="158"/>
    </row>
    <row r="2" spans="1:23" ht="92.4" x14ac:dyDescent="0.25">
      <c r="A2" s="2" t="s">
        <v>4</v>
      </c>
      <c r="B2" s="1" t="s">
        <v>5</v>
      </c>
      <c r="C2" s="1" t="s">
        <v>6</v>
      </c>
      <c r="D2" s="1" t="s">
        <v>7</v>
      </c>
      <c r="E2" s="1" t="s">
        <v>8</v>
      </c>
      <c r="F2" s="1" t="s">
        <v>9</v>
      </c>
      <c r="G2" s="1" t="s">
        <v>10</v>
      </c>
      <c r="H2" s="1" t="s">
        <v>11</v>
      </c>
      <c r="I2" s="1" t="s">
        <v>12</v>
      </c>
      <c r="J2" s="1" t="s">
        <v>13</v>
      </c>
      <c r="K2" s="1" t="s">
        <v>53</v>
      </c>
      <c r="L2" s="1" t="s">
        <v>15</v>
      </c>
      <c r="M2" s="1" t="s">
        <v>16</v>
      </c>
      <c r="N2" s="1" t="s">
        <v>17</v>
      </c>
      <c r="O2" s="1" t="s">
        <v>18</v>
      </c>
      <c r="P2" s="1" t="s">
        <v>19</v>
      </c>
      <c r="Q2" s="1" t="s">
        <v>20</v>
      </c>
      <c r="R2" s="1" t="s">
        <v>21</v>
      </c>
      <c r="S2" s="1" t="s">
        <v>22</v>
      </c>
      <c r="T2" s="1" t="s">
        <v>23</v>
      </c>
      <c r="U2" s="1" t="s">
        <v>25</v>
      </c>
      <c r="V2" s="1" t="s">
        <v>54</v>
      </c>
      <c r="W2" s="1" t="s">
        <v>27</v>
      </c>
    </row>
    <row r="3" spans="1:23" ht="100.5" customHeight="1" x14ac:dyDescent="0.25">
      <c r="A3" s="6"/>
      <c r="B3" s="5"/>
      <c r="C3" s="5"/>
      <c r="D3" s="5"/>
      <c r="E3" s="5"/>
      <c r="F3" s="5"/>
      <c r="G3" s="5"/>
      <c r="H3" s="5"/>
      <c r="I3" s="5"/>
      <c r="J3" s="5"/>
      <c r="K3" s="107"/>
      <c r="L3" s="5"/>
      <c r="M3" s="5"/>
      <c r="N3" s="5"/>
      <c r="O3" s="87"/>
      <c r="P3" s="5"/>
      <c r="Q3" s="5"/>
      <c r="R3" s="5"/>
      <c r="S3" s="87"/>
      <c r="T3" s="4"/>
      <c r="U3" s="5"/>
      <c r="V3" s="5"/>
      <c r="W3" s="88"/>
    </row>
    <row r="4" spans="1:23" ht="74.099999999999994" customHeight="1" x14ac:dyDescent="0.25">
      <c r="A4" s="89"/>
      <c r="B4" s="90"/>
      <c r="C4" s="90"/>
      <c r="D4" s="90"/>
      <c r="E4" s="90"/>
      <c r="F4" s="90"/>
      <c r="G4" s="91"/>
      <c r="H4" s="92"/>
      <c r="I4" s="91"/>
      <c r="J4" s="90"/>
      <c r="K4" s="111"/>
      <c r="L4" s="90"/>
      <c r="M4" s="90"/>
      <c r="N4" s="93"/>
      <c r="O4" s="94"/>
      <c r="P4" s="90"/>
      <c r="Q4" s="90"/>
      <c r="R4" s="93"/>
      <c r="S4" s="94"/>
      <c r="T4" s="101"/>
      <c r="U4" s="91"/>
      <c r="V4" s="95"/>
      <c r="W4" s="105"/>
    </row>
    <row r="5" spans="1:23" ht="74.099999999999994" customHeight="1" x14ac:dyDescent="0.25">
      <c r="A5" s="96"/>
      <c r="B5" s="97"/>
      <c r="C5" s="97"/>
      <c r="D5" s="97"/>
      <c r="E5" s="97"/>
      <c r="F5" s="97"/>
      <c r="G5" s="98"/>
      <c r="H5" s="100"/>
      <c r="I5" s="98"/>
      <c r="J5" s="97"/>
      <c r="K5" s="107"/>
      <c r="L5" s="97"/>
      <c r="M5" s="97"/>
      <c r="N5" s="99"/>
      <c r="O5" s="94"/>
      <c r="P5" s="97"/>
      <c r="Q5" s="97"/>
      <c r="R5" s="99"/>
      <c r="S5" s="94"/>
      <c r="T5" s="112"/>
      <c r="U5" s="98"/>
      <c r="V5" s="113"/>
      <c r="W5" s="88"/>
    </row>
    <row r="6" spans="1:23" ht="74.099999999999994" customHeight="1" x14ac:dyDescent="0.25">
      <c r="A6" s="101"/>
      <c r="B6" s="90"/>
      <c r="C6" s="90"/>
      <c r="D6" s="90"/>
      <c r="E6" s="90"/>
      <c r="F6" s="90"/>
      <c r="G6" s="91"/>
      <c r="H6" s="102"/>
      <c r="I6" s="91"/>
      <c r="J6" s="90"/>
      <c r="K6" s="111"/>
      <c r="L6" s="90"/>
      <c r="M6" s="90"/>
      <c r="N6" s="103"/>
      <c r="O6" s="104"/>
      <c r="P6" s="90"/>
      <c r="Q6" s="90"/>
      <c r="R6" s="103"/>
      <c r="S6" s="104"/>
      <c r="T6" s="101"/>
      <c r="U6" s="91"/>
      <c r="V6" s="91"/>
      <c r="W6" s="106"/>
    </row>
    <row r="7" spans="1:23" ht="51.75" customHeight="1" x14ac:dyDescent="0.25">
      <c r="A7" s="37"/>
      <c r="B7" s="5"/>
      <c r="C7" s="5"/>
      <c r="D7" s="5"/>
      <c r="E7" s="5"/>
      <c r="F7" s="5"/>
      <c r="G7" s="5"/>
      <c r="H7" s="31"/>
      <c r="I7" s="5"/>
      <c r="J7" s="5"/>
      <c r="K7" s="108"/>
      <c r="L7" s="5"/>
      <c r="M7" s="5"/>
      <c r="N7" s="32"/>
      <c r="O7" s="26"/>
      <c r="P7" s="5"/>
      <c r="Q7" s="5"/>
      <c r="R7" s="32"/>
      <c r="S7" s="26"/>
      <c r="T7" s="4"/>
      <c r="U7" s="5"/>
      <c r="V7" s="36"/>
      <c r="W7" s="70"/>
    </row>
    <row r="8" spans="1:23" ht="51.75" customHeight="1" x14ac:dyDescent="0.25">
      <c r="A8" s="37"/>
      <c r="B8" s="5"/>
      <c r="C8" s="5"/>
      <c r="D8" s="5"/>
      <c r="E8" s="5"/>
      <c r="F8" s="5"/>
      <c r="G8" s="36"/>
      <c r="H8" s="31"/>
      <c r="I8" s="36"/>
      <c r="J8" s="5"/>
      <c r="K8" s="109"/>
      <c r="L8" s="5"/>
      <c r="M8" s="5"/>
      <c r="N8" s="32"/>
      <c r="O8" s="26"/>
      <c r="P8" s="5"/>
      <c r="Q8" s="5"/>
      <c r="R8" s="32"/>
      <c r="S8" s="26"/>
      <c r="T8" s="66"/>
      <c r="U8" s="36"/>
      <c r="V8" s="36"/>
      <c r="W8" s="80"/>
    </row>
    <row r="9" spans="1:23" ht="51.75" customHeight="1" x14ac:dyDescent="0.25">
      <c r="A9" s="37"/>
      <c r="B9" s="5"/>
      <c r="C9" s="5"/>
      <c r="D9" s="5"/>
      <c r="E9" s="5"/>
      <c r="F9" s="38"/>
      <c r="G9" s="5"/>
      <c r="H9" s="31"/>
      <c r="I9" s="36"/>
      <c r="J9" s="5"/>
      <c r="K9" s="110"/>
      <c r="L9" s="5"/>
      <c r="M9" s="5"/>
      <c r="N9" s="32"/>
      <c r="O9" s="26"/>
      <c r="P9" s="5"/>
      <c r="Q9" s="5"/>
      <c r="R9" s="32"/>
      <c r="S9" s="26"/>
      <c r="T9" s="66"/>
      <c r="U9" s="36"/>
      <c r="V9" s="36"/>
      <c r="W9" s="69"/>
    </row>
    <row r="10" spans="1:23" ht="51.75" customHeight="1" x14ac:dyDescent="0.25">
      <c r="A10" s="37"/>
      <c r="B10" s="5"/>
      <c r="C10" s="5"/>
      <c r="D10" s="5"/>
      <c r="E10" s="5"/>
      <c r="F10" s="5"/>
      <c r="G10" s="36"/>
      <c r="H10" s="31"/>
      <c r="I10" s="36"/>
      <c r="J10" s="5"/>
      <c r="K10" s="109"/>
      <c r="L10" s="5"/>
      <c r="M10" s="5"/>
      <c r="N10" s="32"/>
      <c r="O10" s="26"/>
      <c r="P10" s="5"/>
      <c r="Q10" s="5"/>
      <c r="R10" s="32"/>
      <c r="S10" s="26"/>
      <c r="T10" s="4"/>
      <c r="U10" s="36"/>
      <c r="V10" s="36"/>
      <c r="W10" s="69"/>
    </row>
    <row r="11" spans="1:23" ht="51.75" customHeight="1" x14ac:dyDescent="0.25">
      <c r="A11" s="37"/>
      <c r="B11" s="5"/>
      <c r="C11" s="5"/>
      <c r="D11" s="5"/>
      <c r="E11" s="5"/>
      <c r="F11" s="5"/>
      <c r="G11" s="36"/>
      <c r="H11" s="31"/>
      <c r="I11" s="36"/>
      <c r="J11" s="5"/>
      <c r="K11" s="115"/>
      <c r="L11" s="5"/>
      <c r="M11" s="5"/>
      <c r="N11" s="32"/>
      <c r="O11" s="26"/>
      <c r="P11" s="5"/>
      <c r="Q11" s="5"/>
      <c r="R11" s="32"/>
      <c r="S11" s="26"/>
      <c r="T11" s="66"/>
      <c r="U11" s="36"/>
      <c r="V11" s="36"/>
      <c r="W11" s="69"/>
    </row>
    <row r="12" spans="1:23" ht="51.75" customHeight="1" x14ac:dyDescent="0.25">
      <c r="A12" s="37"/>
      <c r="B12" s="5"/>
      <c r="C12" s="5"/>
      <c r="D12" s="5"/>
      <c r="E12" s="5"/>
      <c r="F12" s="5"/>
      <c r="G12" s="36"/>
      <c r="H12" s="31"/>
      <c r="I12" s="36"/>
      <c r="J12" s="5"/>
      <c r="K12" s="115"/>
      <c r="L12" s="5"/>
      <c r="M12" s="5"/>
      <c r="N12" s="43"/>
      <c r="O12" s="68"/>
      <c r="P12" s="5"/>
      <c r="Q12" s="5"/>
      <c r="R12" s="32"/>
      <c r="S12" s="68"/>
      <c r="T12" s="4"/>
      <c r="U12" s="36"/>
      <c r="V12" s="36"/>
      <c r="W12" s="69"/>
    </row>
    <row r="13" spans="1:23" ht="95.55" customHeight="1" x14ac:dyDescent="0.25">
      <c r="A13" s="116"/>
      <c r="B13" s="90"/>
      <c r="C13" s="90"/>
      <c r="D13" s="90"/>
      <c r="E13" s="90"/>
      <c r="F13" s="90"/>
      <c r="G13" s="91"/>
      <c r="H13" s="102"/>
      <c r="I13" s="91"/>
      <c r="J13" s="90"/>
      <c r="K13" s="118"/>
      <c r="L13" s="90"/>
      <c r="M13" s="90"/>
      <c r="N13" s="93"/>
      <c r="O13" s="94"/>
      <c r="P13" s="90"/>
      <c r="Q13" s="90"/>
      <c r="R13" s="103"/>
      <c r="S13" s="94"/>
      <c r="T13" s="101"/>
      <c r="U13" s="91"/>
      <c r="V13" s="91"/>
      <c r="W13" s="117"/>
    </row>
    <row r="14" spans="1:23" ht="32.549999999999997" customHeight="1" x14ac:dyDescent="0.25">
      <c r="A14" s="89"/>
      <c r="B14" s="90"/>
      <c r="C14" s="90"/>
      <c r="D14" s="90"/>
      <c r="E14" s="90"/>
      <c r="F14" s="90"/>
      <c r="G14" s="91"/>
      <c r="H14" s="102"/>
      <c r="I14" s="91"/>
      <c r="J14" s="90"/>
      <c r="K14" s="118"/>
      <c r="L14" s="90"/>
      <c r="M14" s="90"/>
      <c r="N14" s="93"/>
      <c r="O14" s="94"/>
      <c r="P14" s="90"/>
      <c r="Q14" s="90"/>
      <c r="R14" s="103"/>
      <c r="S14" s="94"/>
      <c r="T14" s="101"/>
      <c r="U14" s="91"/>
      <c r="V14" s="91"/>
      <c r="W14" s="117"/>
    </row>
    <row r="15" spans="1:23" ht="44.55" customHeight="1" x14ac:dyDescent="0.25">
      <c r="A15" s="89"/>
      <c r="B15" s="90"/>
      <c r="C15" s="90"/>
      <c r="D15" s="90"/>
      <c r="E15" s="90"/>
      <c r="F15" s="90"/>
      <c r="G15" s="91"/>
      <c r="H15" s="92"/>
      <c r="I15" s="91"/>
      <c r="J15" s="90"/>
      <c r="K15" s="118"/>
      <c r="L15" s="90"/>
      <c r="M15" s="90"/>
      <c r="N15" s="103"/>
      <c r="O15" s="104"/>
      <c r="P15" s="90"/>
      <c r="Q15" s="90"/>
      <c r="R15" s="103"/>
      <c r="S15" s="104"/>
      <c r="T15" s="101"/>
      <c r="U15" s="90"/>
      <c r="V15" s="95"/>
      <c r="W15" s="119"/>
    </row>
    <row r="16" spans="1:23" ht="47.25" customHeight="1" x14ac:dyDescent="0.25">
      <c r="A16" s="96"/>
      <c r="B16" s="97"/>
      <c r="C16" s="97"/>
      <c r="D16" s="97"/>
      <c r="E16" s="97"/>
      <c r="F16" s="120"/>
      <c r="G16" s="98"/>
      <c r="H16" s="100"/>
      <c r="I16" s="98"/>
      <c r="J16" s="97"/>
      <c r="K16" s="118"/>
      <c r="L16" s="97"/>
      <c r="M16" s="97"/>
      <c r="N16" s="99"/>
      <c r="O16" s="94"/>
      <c r="P16" s="97"/>
      <c r="Q16" s="97"/>
      <c r="R16" s="121"/>
      <c r="S16" s="94"/>
      <c r="T16" s="112"/>
      <c r="U16" s="98"/>
      <c r="V16" s="98"/>
      <c r="W16" s="122"/>
    </row>
    <row r="17" spans="1:24" ht="56.25" customHeight="1" x14ac:dyDescent="0.25">
      <c r="A17" s="89"/>
      <c r="B17" s="90"/>
      <c r="C17" s="90"/>
      <c r="D17" s="90"/>
      <c r="E17" s="90"/>
      <c r="F17" s="90"/>
      <c r="G17" s="90"/>
      <c r="H17" s="102"/>
      <c r="I17" s="91"/>
      <c r="J17" s="90"/>
      <c r="K17" s="118"/>
      <c r="L17" s="90"/>
      <c r="M17" s="90"/>
      <c r="N17" s="93"/>
      <c r="O17" s="94"/>
      <c r="P17" s="90"/>
      <c r="Q17" s="90"/>
      <c r="R17" s="103"/>
      <c r="S17" s="94"/>
      <c r="T17" s="101"/>
      <c r="U17" s="91"/>
      <c r="V17" s="91"/>
      <c r="W17" s="117"/>
    </row>
    <row r="18" spans="1:24" ht="78.75" customHeight="1" x14ac:dyDescent="0.25">
      <c r="A18" s="112"/>
      <c r="B18" s="97"/>
      <c r="C18" s="97"/>
      <c r="D18" s="97"/>
      <c r="E18" s="97"/>
      <c r="F18" s="97"/>
      <c r="G18" s="98"/>
      <c r="H18" s="100"/>
      <c r="I18" s="98"/>
      <c r="J18" s="97"/>
      <c r="K18" s="118"/>
      <c r="L18" s="97"/>
      <c r="M18" s="97"/>
      <c r="N18" s="121"/>
      <c r="O18" s="104"/>
      <c r="P18" s="97"/>
      <c r="Q18" s="97"/>
      <c r="R18" s="121"/>
      <c r="S18" s="104"/>
      <c r="T18" s="112"/>
      <c r="U18" s="98"/>
      <c r="V18" s="98"/>
      <c r="W18" s="97"/>
    </row>
    <row r="19" spans="1:24" ht="78" customHeight="1" x14ac:dyDescent="0.25">
      <c r="A19" s="96"/>
      <c r="B19" s="97"/>
      <c r="C19" s="97"/>
      <c r="D19" s="97"/>
      <c r="E19" s="97"/>
      <c r="F19" s="97"/>
      <c r="G19" s="98"/>
      <c r="H19" s="100"/>
      <c r="I19" s="98"/>
      <c r="J19" s="97"/>
      <c r="K19" s="118"/>
      <c r="L19" s="97"/>
      <c r="M19" s="97"/>
      <c r="N19" s="99"/>
      <c r="O19" s="94"/>
      <c r="P19" s="97"/>
      <c r="Q19" s="97"/>
      <c r="R19" s="121"/>
      <c r="S19" s="94"/>
      <c r="T19" s="123"/>
      <c r="U19" s="98"/>
      <c r="V19" s="98"/>
      <c r="W19" s="122"/>
    </row>
    <row r="20" spans="1:24" ht="87" customHeight="1" x14ac:dyDescent="0.25">
      <c r="A20" s="101"/>
      <c r="B20" s="90"/>
      <c r="C20" s="90"/>
      <c r="D20" s="90"/>
      <c r="E20" s="90"/>
      <c r="F20" s="90"/>
      <c r="G20" s="91"/>
      <c r="H20" s="102"/>
      <c r="I20" s="91"/>
      <c r="J20" s="90"/>
      <c r="K20" s="118"/>
      <c r="L20" s="90"/>
      <c r="M20" s="90"/>
      <c r="N20" s="103"/>
      <c r="O20" s="104"/>
      <c r="P20" s="90"/>
      <c r="Q20" s="90"/>
      <c r="R20" s="103"/>
      <c r="S20" s="104"/>
      <c r="T20" s="124"/>
      <c r="U20" s="91"/>
      <c r="V20" s="91"/>
      <c r="W20" s="117"/>
    </row>
    <row r="21" spans="1:24" ht="44.55" customHeight="1" x14ac:dyDescent="0.25">
      <c r="A21" s="89"/>
      <c r="B21" s="90"/>
      <c r="C21" s="90"/>
      <c r="D21" s="90"/>
      <c r="E21" s="90"/>
      <c r="F21" s="90"/>
      <c r="G21" s="91"/>
      <c r="H21" s="102"/>
      <c r="I21" s="91"/>
      <c r="J21" s="90"/>
      <c r="K21" s="135"/>
      <c r="L21" s="90"/>
      <c r="M21" s="90"/>
      <c r="N21" s="93"/>
      <c r="O21" s="94"/>
      <c r="P21" s="90"/>
      <c r="Q21" s="90"/>
      <c r="R21" s="103"/>
      <c r="S21" s="94"/>
      <c r="T21" s="101"/>
      <c r="U21" s="128"/>
      <c r="V21" s="91"/>
      <c r="W21" s="91"/>
      <c r="X21" s="106"/>
    </row>
    <row r="22" spans="1:24" ht="71.25" customHeight="1" x14ac:dyDescent="0.25">
      <c r="A22" s="96"/>
      <c r="B22" s="120"/>
      <c r="C22" s="120"/>
      <c r="D22" s="120"/>
      <c r="E22" s="120"/>
      <c r="F22" s="97"/>
      <c r="G22" s="98"/>
      <c r="H22" s="129"/>
      <c r="I22" s="98"/>
      <c r="J22" s="97"/>
      <c r="K22" s="135"/>
      <c r="L22" s="120"/>
      <c r="M22" s="120"/>
      <c r="N22" s="99"/>
      <c r="O22" s="94"/>
      <c r="P22" s="120"/>
      <c r="Q22" s="120"/>
      <c r="R22" s="121"/>
      <c r="S22" s="94"/>
      <c r="T22" s="112"/>
      <c r="U22" s="130"/>
      <c r="V22" s="131"/>
      <c r="W22" s="131"/>
      <c r="X22" s="132"/>
    </row>
    <row r="23" spans="1:24" ht="66" customHeight="1" x14ac:dyDescent="0.25">
      <c r="A23" s="101"/>
      <c r="B23" s="90"/>
      <c r="C23" s="90"/>
      <c r="D23" s="90"/>
      <c r="E23" s="90"/>
      <c r="F23" s="90"/>
      <c r="G23" s="91"/>
      <c r="H23" s="102"/>
      <c r="I23" s="91"/>
      <c r="J23" s="90"/>
      <c r="K23" s="135"/>
      <c r="L23" s="90"/>
      <c r="M23" s="90"/>
      <c r="N23" s="103"/>
      <c r="O23" s="104"/>
      <c r="P23" s="90"/>
      <c r="Q23" s="90"/>
      <c r="R23" s="103"/>
      <c r="S23" s="104"/>
      <c r="T23" s="101"/>
      <c r="U23" s="133"/>
      <c r="V23" s="91"/>
      <c r="W23" s="91"/>
      <c r="X23" s="134"/>
    </row>
    <row r="24" spans="1:24" ht="69.75" customHeight="1" x14ac:dyDescent="0.25">
      <c r="A24" s="37"/>
      <c r="B24" s="5"/>
      <c r="C24" s="5"/>
      <c r="D24" s="5"/>
      <c r="E24" s="5"/>
      <c r="F24" s="5"/>
      <c r="G24" s="5"/>
      <c r="H24" s="31"/>
      <c r="I24" s="5"/>
      <c r="J24" s="5"/>
      <c r="K24" s="139"/>
      <c r="L24" s="5"/>
      <c r="M24" s="5"/>
      <c r="N24" s="32"/>
      <c r="O24" s="26"/>
      <c r="P24" s="5"/>
      <c r="Q24" s="5"/>
      <c r="R24" s="32"/>
      <c r="S24" s="26"/>
      <c r="T24" s="4"/>
      <c r="U24" s="71"/>
      <c r="V24" s="5"/>
      <c r="W24" s="36"/>
      <c r="X24" s="69"/>
    </row>
    <row r="25" spans="1:24" ht="51.75" customHeight="1" x14ac:dyDescent="0.25">
      <c r="A25" s="37"/>
      <c r="B25" s="38"/>
      <c r="C25" s="38"/>
      <c r="D25" s="38"/>
      <c r="E25" s="38"/>
      <c r="F25" s="5"/>
      <c r="G25" s="36"/>
      <c r="H25" s="137"/>
      <c r="I25" s="36"/>
      <c r="J25" s="5"/>
      <c r="K25" s="139"/>
      <c r="L25" s="38"/>
      <c r="M25" s="38"/>
      <c r="N25" s="43"/>
      <c r="O25" s="68"/>
      <c r="P25" s="38"/>
      <c r="Q25" s="38"/>
      <c r="R25" s="32"/>
      <c r="S25" s="68"/>
      <c r="T25" s="4"/>
      <c r="U25" s="72"/>
      <c r="V25" s="141"/>
      <c r="W25" s="142"/>
    </row>
    <row r="26" spans="1:24" ht="51.75" customHeight="1" x14ac:dyDescent="0.25">
      <c r="A26" s="37"/>
      <c r="B26" s="5"/>
      <c r="C26" s="5"/>
      <c r="D26" s="5"/>
      <c r="E26" s="5"/>
      <c r="F26" s="5"/>
      <c r="G26" s="36"/>
      <c r="H26" s="65"/>
      <c r="I26" s="36"/>
      <c r="J26" s="5"/>
      <c r="K26" s="139"/>
      <c r="L26" s="5"/>
      <c r="M26" s="5"/>
      <c r="N26" s="43"/>
      <c r="O26" s="68"/>
      <c r="P26" s="5"/>
      <c r="Q26" s="5"/>
      <c r="R26" s="125"/>
      <c r="S26" s="68"/>
      <c r="T26" s="4"/>
      <c r="U26" s="72"/>
      <c r="V26" s="36"/>
      <c r="W26" s="138"/>
    </row>
    <row r="27" spans="1:24" ht="135.75" customHeight="1" x14ac:dyDescent="0.25">
      <c r="A27" s="37"/>
      <c r="B27" s="5"/>
      <c r="C27" s="5"/>
      <c r="D27" s="5"/>
      <c r="E27" s="5"/>
      <c r="F27" s="38"/>
      <c r="G27" s="36"/>
      <c r="H27" s="31"/>
      <c r="I27" s="36"/>
      <c r="J27" s="5"/>
      <c r="K27" s="139"/>
      <c r="L27" s="5"/>
      <c r="M27" s="5"/>
      <c r="N27" s="43"/>
      <c r="O27" s="68"/>
      <c r="P27" s="5"/>
      <c r="Q27" s="5"/>
      <c r="R27" s="32"/>
      <c r="S27" s="68"/>
      <c r="T27" s="4"/>
      <c r="U27" s="71"/>
      <c r="V27" s="36"/>
      <c r="W27" s="36"/>
    </row>
    <row r="28" spans="1:24" ht="52.05" customHeight="1" x14ac:dyDescent="0.25">
      <c r="A28" s="37"/>
      <c r="B28" s="38"/>
      <c r="C28" s="38"/>
      <c r="D28" s="38"/>
      <c r="E28" s="38"/>
      <c r="F28" s="5"/>
      <c r="G28" s="36"/>
      <c r="H28" s="65"/>
      <c r="I28" s="36"/>
      <c r="J28" s="5"/>
      <c r="K28" s="139"/>
      <c r="L28" s="38"/>
      <c r="M28" s="38"/>
      <c r="N28" s="43"/>
      <c r="O28" s="68"/>
      <c r="P28" s="38"/>
      <c r="Q28" s="38"/>
      <c r="R28" s="32"/>
      <c r="S28" s="68"/>
      <c r="T28" s="4"/>
      <c r="U28" s="83"/>
      <c r="V28" s="40"/>
      <c r="W28" s="67"/>
    </row>
    <row r="29" spans="1:24" ht="51.75" customHeight="1" x14ac:dyDescent="0.25">
      <c r="A29" s="37"/>
      <c r="B29" s="38"/>
      <c r="C29" s="38"/>
      <c r="D29" s="38"/>
      <c r="E29" s="38"/>
      <c r="F29" s="5"/>
      <c r="G29" s="5"/>
      <c r="H29" s="65"/>
      <c r="I29" s="36"/>
      <c r="J29" s="5"/>
      <c r="K29" s="139"/>
      <c r="L29" s="38"/>
      <c r="M29" s="38"/>
      <c r="N29" s="43"/>
      <c r="O29" s="68"/>
      <c r="P29" s="38"/>
      <c r="Q29" s="38"/>
      <c r="R29" s="32"/>
      <c r="S29" s="68"/>
      <c r="T29" s="4"/>
      <c r="U29" s="84"/>
      <c r="V29" s="40"/>
      <c r="W29" s="40"/>
    </row>
    <row r="30" spans="1:24" ht="51.75" customHeight="1" x14ac:dyDescent="0.25">
      <c r="A30" s="37"/>
      <c r="B30" s="5"/>
      <c r="C30" s="5"/>
      <c r="D30" s="5"/>
      <c r="E30" s="5"/>
      <c r="F30" s="5"/>
      <c r="G30" s="36"/>
      <c r="H30" s="31"/>
      <c r="I30" s="36"/>
      <c r="J30" s="5"/>
      <c r="K30" s="139"/>
      <c r="L30" s="5"/>
      <c r="M30" s="5"/>
      <c r="N30" s="43"/>
      <c r="O30" s="68"/>
      <c r="P30" s="5"/>
      <c r="Q30" s="5"/>
      <c r="R30" s="32"/>
      <c r="S30" s="68"/>
      <c r="T30" s="4"/>
      <c r="U30" s="72"/>
      <c r="V30" s="36"/>
      <c r="W30" s="36"/>
    </row>
    <row r="31" spans="1:24" ht="51.75" customHeight="1" x14ac:dyDescent="0.25">
      <c r="A31" s="37"/>
      <c r="B31" s="38"/>
      <c r="C31" s="38"/>
      <c r="D31" s="38"/>
      <c r="E31" s="38"/>
      <c r="F31" s="38"/>
      <c r="G31" s="36"/>
      <c r="H31" s="65"/>
      <c r="I31" s="40"/>
      <c r="J31" s="38"/>
      <c r="K31" s="139"/>
      <c r="L31" s="38"/>
      <c r="M31" s="38"/>
      <c r="N31" s="43"/>
      <c r="O31" s="68"/>
      <c r="P31" s="38"/>
      <c r="Q31" s="38"/>
      <c r="R31" s="32"/>
      <c r="S31" s="68"/>
      <c r="T31" s="39"/>
      <c r="U31" s="38"/>
      <c r="V31" s="40"/>
      <c r="W31" s="40"/>
    </row>
    <row r="32" spans="1:24" ht="51.75" customHeight="1" x14ac:dyDescent="0.25">
      <c r="A32" s="37"/>
      <c r="B32" s="38"/>
      <c r="C32" s="38"/>
      <c r="D32" s="38"/>
      <c r="E32" s="38"/>
      <c r="F32" s="38"/>
      <c r="G32" s="40"/>
      <c r="H32" s="65"/>
      <c r="I32" s="40"/>
      <c r="J32" s="38"/>
      <c r="K32" s="139"/>
      <c r="L32" s="38"/>
      <c r="M32" s="38"/>
      <c r="N32" s="43"/>
      <c r="O32" s="68"/>
      <c r="P32" s="38"/>
      <c r="Q32" s="38"/>
      <c r="R32" s="43"/>
      <c r="S32" s="68"/>
      <c r="T32" s="39"/>
      <c r="U32" s="82"/>
      <c r="V32" s="40"/>
      <c r="W32" s="40"/>
    </row>
    <row r="33" spans="1:23" ht="38.1" customHeight="1" x14ac:dyDescent="0.25">
      <c r="A33" s="37"/>
      <c r="B33" s="38"/>
      <c r="C33" s="38"/>
      <c r="D33" s="38"/>
      <c r="E33" s="38"/>
      <c r="F33" s="38"/>
      <c r="G33" s="40"/>
      <c r="H33" s="65"/>
      <c r="I33" s="40"/>
      <c r="J33" s="38"/>
      <c r="K33" s="139"/>
      <c r="L33" s="38"/>
      <c r="M33" s="38"/>
      <c r="N33" s="43"/>
      <c r="O33" s="68"/>
      <c r="P33" s="38"/>
      <c r="Q33" s="38"/>
      <c r="R33" s="43"/>
      <c r="S33" s="68"/>
      <c r="T33" s="39"/>
      <c r="U33" s="82"/>
      <c r="V33" s="40"/>
      <c r="W33" s="40"/>
    </row>
    <row r="34" spans="1:23" ht="14.25" customHeight="1" x14ac:dyDescent="0.25">
      <c r="C34"/>
    </row>
    <row r="35" spans="1:23" ht="14.25" customHeight="1" x14ac:dyDescent="0.25">
      <c r="C35"/>
    </row>
    <row r="36" spans="1:23" ht="14.25" customHeight="1" x14ac:dyDescent="0.25">
      <c r="C36"/>
    </row>
    <row r="37" spans="1:23" ht="11.25" customHeight="1" x14ac:dyDescent="0.25">
      <c r="C37"/>
    </row>
    <row r="38" spans="1:23" ht="14.25" customHeight="1" x14ac:dyDescent="0.25">
      <c r="C38"/>
    </row>
    <row r="39" spans="1:23" ht="14.25" customHeight="1" x14ac:dyDescent="0.25">
      <c r="C39"/>
    </row>
    <row r="40" spans="1:23" ht="14.25" customHeight="1" x14ac:dyDescent="0.25">
      <c r="C40"/>
    </row>
    <row r="41" spans="1:23" ht="14.25" customHeight="1" x14ac:dyDescent="0.25">
      <c r="C41"/>
    </row>
    <row r="42" spans="1:23" ht="14.25" customHeight="1" x14ac:dyDescent="0.25">
      <c r="C42"/>
    </row>
    <row r="43" spans="1:23" ht="14.25" customHeight="1" x14ac:dyDescent="0.25">
      <c r="C43"/>
    </row>
    <row r="44" spans="1:23" ht="11.25" customHeight="1" x14ac:dyDescent="0.25">
      <c r="C44"/>
    </row>
    <row r="45" spans="1:23" ht="14.25" customHeight="1" x14ac:dyDescent="0.25">
      <c r="C45"/>
    </row>
    <row r="46" spans="1:23" ht="14.25" customHeight="1" x14ac:dyDescent="0.25">
      <c r="C46"/>
    </row>
    <row r="47" spans="1:23" ht="14.25" customHeight="1" x14ac:dyDescent="0.25">
      <c r="C47"/>
    </row>
    <row r="48" spans="1:23" ht="14.25" customHeight="1" x14ac:dyDescent="0.25">
      <c r="C48"/>
    </row>
    <row r="49" spans="3:3" ht="14.25" customHeight="1" x14ac:dyDescent="0.25">
      <c r="C49"/>
    </row>
    <row r="50" spans="3:3" ht="14.25" customHeight="1" x14ac:dyDescent="0.25">
      <c r="C50"/>
    </row>
    <row r="51" spans="3:3" ht="11.25" customHeight="1" x14ac:dyDescent="0.25">
      <c r="C51"/>
    </row>
    <row r="52" spans="3:3" ht="14.25" customHeight="1" x14ac:dyDescent="0.25">
      <c r="C52"/>
    </row>
    <row r="53" spans="3:3" ht="14.25" customHeight="1" x14ac:dyDescent="0.25">
      <c r="C53"/>
    </row>
    <row r="54" spans="3:3" ht="14.25" customHeight="1" x14ac:dyDescent="0.25">
      <c r="C54"/>
    </row>
    <row r="55" spans="3:3" ht="14.25" customHeight="1" x14ac:dyDescent="0.25">
      <c r="C55"/>
    </row>
    <row r="56" spans="3:3" ht="14.25" customHeight="1" x14ac:dyDescent="0.25">
      <c r="C56"/>
    </row>
    <row r="57" spans="3:3" ht="14.25" customHeight="1" x14ac:dyDescent="0.25">
      <c r="C57"/>
    </row>
    <row r="58" spans="3:3" ht="11.25" customHeight="1" x14ac:dyDescent="0.25">
      <c r="C58"/>
    </row>
    <row r="59" spans="3:3" ht="14.25" customHeight="1" x14ac:dyDescent="0.25">
      <c r="C59"/>
    </row>
    <row r="60" spans="3:3" ht="14.25" customHeight="1" x14ac:dyDescent="0.25">
      <c r="C60"/>
    </row>
    <row r="61" spans="3:3" ht="14.25" customHeight="1" x14ac:dyDescent="0.25">
      <c r="C61"/>
    </row>
    <row r="62" spans="3:3" ht="14.25" customHeight="1" x14ac:dyDescent="0.25">
      <c r="C62"/>
    </row>
    <row r="63" spans="3:3" ht="14.25" customHeight="1" x14ac:dyDescent="0.25">
      <c r="C63"/>
    </row>
    <row r="64" spans="3:3" ht="14.25" customHeight="1" x14ac:dyDescent="0.25">
      <c r="C64"/>
    </row>
    <row r="65" spans="3:3" ht="11.25" customHeight="1" x14ac:dyDescent="0.25">
      <c r="C65"/>
    </row>
    <row r="66" spans="3:3" ht="14.25" customHeight="1" x14ac:dyDescent="0.25">
      <c r="C66"/>
    </row>
    <row r="67" spans="3:3" ht="14.25" customHeight="1" x14ac:dyDescent="0.25">
      <c r="C67"/>
    </row>
    <row r="68" spans="3:3" ht="14.25" customHeight="1" x14ac:dyDescent="0.25">
      <c r="C68"/>
    </row>
    <row r="69" spans="3:3" ht="14.25" customHeight="1" x14ac:dyDescent="0.25">
      <c r="C69"/>
    </row>
    <row r="70" spans="3:3" ht="14.25" customHeight="1" x14ac:dyDescent="0.25">
      <c r="C70"/>
    </row>
    <row r="71" spans="3:3" ht="14.25" customHeight="1" x14ac:dyDescent="0.25">
      <c r="C71"/>
    </row>
    <row r="72" spans="3:3" ht="11.25" customHeight="1" x14ac:dyDescent="0.25">
      <c r="C72"/>
    </row>
    <row r="73" spans="3:3" ht="14.25" customHeight="1" x14ac:dyDescent="0.25">
      <c r="C73"/>
    </row>
    <row r="74" spans="3:3" ht="14.25" customHeight="1" x14ac:dyDescent="0.25">
      <c r="C74"/>
    </row>
    <row r="75" spans="3:3" ht="14.25" customHeight="1" x14ac:dyDescent="0.25">
      <c r="C75"/>
    </row>
    <row r="76" spans="3:3" ht="14.25" customHeight="1" x14ac:dyDescent="0.25">
      <c r="C76"/>
    </row>
    <row r="77" spans="3:3" ht="14.25" customHeight="1" x14ac:dyDescent="0.25">
      <c r="C77"/>
    </row>
    <row r="78" spans="3:3" ht="14.25" customHeight="1" x14ac:dyDescent="0.25">
      <c r="C78"/>
    </row>
    <row r="79" spans="3:3" ht="11.25" customHeight="1" x14ac:dyDescent="0.25">
      <c r="C79"/>
    </row>
    <row r="80" spans="3:3" ht="14.25" customHeight="1" x14ac:dyDescent="0.25">
      <c r="C80"/>
    </row>
    <row r="81" spans="3:3" ht="14.25" customHeight="1" x14ac:dyDescent="0.25">
      <c r="C81"/>
    </row>
    <row r="82" spans="3:3" ht="14.25" customHeight="1" x14ac:dyDescent="0.25">
      <c r="C82"/>
    </row>
    <row r="83" spans="3:3" ht="14.25" customHeight="1" x14ac:dyDescent="0.25">
      <c r="C83"/>
    </row>
    <row r="84" spans="3:3" ht="14.25" customHeight="1" x14ac:dyDescent="0.25">
      <c r="C84"/>
    </row>
    <row r="85" spans="3:3" ht="14.25" customHeight="1" x14ac:dyDescent="0.25">
      <c r="C85"/>
    </row>
    <row r="86" spans="3:3" ht="11.25" customHeight="1" x14ac:dyDescent="0.25">
      <c r="C86"/>
    </row>
    <row r="87" spans="3:3" ht="14.25" customHeight="1" x14ac:dyDescent="0.25">
      <c r="C87"/>
    </row>
    <row r="88" spans="3:3" ht="14.25" customHeight="1" x14ac:dyDescent="0.25">
      <c r="C88"/>
    </row>
    <row r="89" spans="3:3" ht="14.25" customHeight="1" x14ac:dyDescent="0.25">
      <c r="C89"/>
    </row>
    <row r="90" spans="3:3" ht="14.25" customHeight="1" x14ac:dyDescent="0.25">
      <c r="C90"/>
    </row>
    <row r="91" spans="3:3" ht="14.25" customHeight="1" x14ac:dyDescent="0.25">
      <c r="C91"/>
    </row>
    <row r="92" spans="3:3" ht="14.25" customHeight="1" x14ac:dyDescent="0.25">
      <c r="C92"/>
    </row>
    <row r="93" spans="3:3" ht="11.25" customHeight="1" x14ac:dyDescent="0.25">
      <c r="C93"/>
    </row>
    <row r="94" spans="3:3" ht="14.25" customHeight="1" x14ac:dyDescent="0.25">
      <c r="C94"/>
    </row>
    <row r="95" spans="3:3" ht="14.25" customHeight="1" x14ac:dyDescent="0.25">
      <c r="C95"/>
    </row>
    <row r="96" spans="3:3" ht="14.25" customHeight="1" x14ac:dyDescent="0.25">
      <c r="C96"/>
    </row>
    <row r="97" spans="3:3" ht="14.25" customHeight="1" x14ac:dyDescent="0.25">
      <c r="C97"/>
    </row>
    <row r="98" spans="3:3" ht="14.25" customHeight="1" x14ac:dyDescent="0.25">
      <c r="C98"/>
    </row>
    <row r="99" spans="3:3" ht="14.25" customHeight="1" x14ac:dyDescent="0.25">
      <c r="C99"/>
    </row>
    <row r="100" spans="3:3" ht="11.25" customHeight="1" x14ac:dyDescent="0.25">
      <c r="C100"/>
    </row>
    <row r="101" spans="3:3" ht="14.25" customHeight="1" x14ac:dyDescent="0.25">
      <c r="C101"/>
    </row>
    <row r="102" spans="3:3" ht="14.25" customHeight="1" x14ac:dyDescent="0.25">
      <c r="C102"/>
    </row>
    <row r="103" spans="3:3" ht="14.25" customHeight="1" x14ac:dyDescent="0.25">
      <c r="C103"/>
    </row>
    <row r="104" spans="3:3" ht="14.25" customHeight="1" x14ac:dyDescent="0.25">
      <c r="C104"/>
    </row>
    <row r="105" spans="3:3" ht="14.25" customHeight="1" x14ac:dyDescent="0.25">
      <c r="C105"/>
    </row>
    <row r="106" spans="3:3" ht="14.25" customHeight="1" x14ac:dyDescent="0.25">
      <c r="C106"/>
    </row>
    <row r="107" spans="3:3" ht="11.25" customHeight="1" x14ac:dyDescent="0.25">
      <c r="C107"/>
    </row>
    <row r="108" spans="3:3" ht="14.25" customHeight="1" x14ac:dyDescent="0.25">
      <c r="C108"/>
    </row>
    <row r="109" spans="3:3" ht="14.25" customHeight="1" x14ac:dyDescent="0.25">
      <c r="C109"/>
    </row>
    <row r="110" spans="3:3" ht="14.25" customHeight="1" x14ac:dyDescent="0.25">
      <c r="C110"/>
    </row>
    <row r="111" spans="3:3" ht="14.25" customHeight="1" x14ac:dyDescent="0.25">
      <c r="C111"/>
    </row>
    <row r="112" spans="3:3" ht="14.25" customHeight="1" x14ac:dyDescent="0.25">
      <c r="C112"/>
    </row>
    <row r="113" spans="3:3" ht="14.25" customHeight="1" x14ac:dyDescent="0.25">
      <c r="C113"/>
    </row>
    <row r="114" spans="3:3" ht="11.25" customHeight="1" x14ac:dyDescent="0.25">
      <c r="C114"/>
    </row>
    <row r="115" spans="3:3" ht="14.25" customHeight="1" x14ac:dyDescent="0.25">
      <c r="C115"/>
    </row>
    <row r="116" spans="3:3" ht="14.25" customHeight="1" x14ac:dyDescent="0.25">
      <c r="C116"/>
    </row>
    <row r="117" spans="3:3" ht="14.25" customHeight="1" x14ac:dyDescent="0.25">
      <c r="C117"/>
    </row>
    <row r="118" spans="3:3" ht="14.25" customHeight="1" x14ac:dyDescent="0.25">
      <c r="C118"/>
    </row>
    <row r="119" spans="3:3" ht="14.25" customHeight="1" x14ac:dyDescent="0.25">
      <c r="C119"/>
    </row>
    <row r="120" spans="3:3" ht="14.25" customHeight="1" x14ac:dyDescent="0.25">
      <c r="C120"/>
    </row>
    <row r="121" spans="3:3" ht="11.25" customHeight="1" x14ac:dyDescent="0.25">
      <c r="C121"/>
    </row>
    <row r="122" spans="3:3" ht="14.25" customHeight="1" x14ac:dyDescent="0.25">
      <c r="C122"/>
    </row>
    <row r="123" spans="3:3" ht="14.25" customHeight="1" x14ac:dyDescent="0.25">
      <c r="C123"/>
    </row>
    <row r="124" spans="3:3" ht="14.25" customHeight="1" x14ac:dyDescent="0.25">
      <c r="C124"/>
    </row>
    <row r="125" spans="3:3" ht="14.25" customHeight="1" x14ac:dyDescent="0.25">
      <c r="C125"/>
    </row>
    <row r="126" spans="3:3" ht="14.25" customHeight="1" x14ac:dyDescent="0.25">
      <c r="C126"/>
    </row>
    <row r="127" spans="3:3" ht="14.25" customHeight="1" x14ac:dyDescent="0.25">
      <c r="C127"/>
    </row>
    <row r="128" spans="3:3" ht="11.25" customHeight="1" x14ac:dyDescent="0.25">
      <c r="C128"/>
    </row>
    <row r="129" spans="3:3" ht="14.25" customHeight="1" x14ac:dyDescent="0.25">
      <c r="C129"/>
    </row>
    <row r="130" spans="3:3" ht="14.25" customHeight="1" x14ac:dyDescent="0.25">
      <c r="C130"/>
    </row>
    <row r="131" spans="3:3" ht="14.25" customHeight="1" x14ac:dyDescent="0.25">
      <c r="C131"/>
    </row>
    <row r="132" spans="3:3" ht="14.25" customHeight="1" x14ac:dyDescent="0.25">
      <c r="C132"/>
    </row>
    <row r="133" spans="3:3" ht="14.25" customHeight="1" x14ac:dyDescent="0.25">
      <c r="C133"/>
    </row>
    <row r="134" spans="3:3" ht="14.25" customHeight="1" x14ac:dyDescent="0.25">
      <c r="C134"/>
    </row>
    <row r="135" spans="3:3" ht="11.25" customHeight="1" x14ac:dyDescent="0.25">
      <c r="C135"/>
    </row>
    <row r="136" spans="3:3" ht="14.25" customHeight="1" x14ac:dyDescent="0.25">
      <c r="C136"/>
    </row>
    <row r="137" spans="3:3" ht="14.25" customHeight="1" x14ac:dyDescent="0.25">
      <c r="C137"/>
    </row>
    <row r="138" spans="3:3" ht="14.25" customHeight="1" x14ac:dyDescent="0.25">
      <c r="C138"/>
    </row>
    <row r="139" spans="3:3" ht="14.25" customHeight="1" x14ac:dyDescent="0.25">
      <c r="C139"/>
    </row>
    <row r="140" spans="3:3" ht="14.25" customHeight="1" x14ac:dyDescent="0.25">
      <c r="C140"/>
    </row>
    <row r="141" spans="3:3" ht="14.25" customHeight="1" x14ac:dyDescent="0.25">
      <c r="C141"/>
    </row>
    <row r="142" spans="3:3" ht="11.25" customHeight="1" x14ac:dyDescent="0.25">
      <c r="C142"/>
    </row>
    <row r="143" spans="3:3" ht="14.25" customHeight="1" x14ac:dyDescent="0.25">
      <c r="C143"/>
    </row>
    <row r="144" spans="3:3" ht="14.25" customHeight="1" x14ac:dyDescent="0.25">
      <c r="C144"/>
    </row>
    <row r="145" spans="3:3" ht="14.25" customHeight="1" x14ac:dyDescent="0.25">
      <c r="C145"/>
    </row>
    <row r="146" spans="3:3" ht="14.25" customHeight="1" x14ac:dyDescent="0.25">
      <c r="C146"/>
    </row>
    <row r="147" spans="3:3" ht="14.25" customHeight="1" x14ac:dyDescent="0.25">
      <c r="C147"/>
    </row>
    <row r="148" spans="3:3" ht="14.25" customHeight="1" x14ac:dyDescent="0.25">
      <c r="C148"/>
    </row>
    <row r="149" spans="3:3" ht="11.25" customHeight="1" x14ac:dyDescent="0.25">
      <c r="C149"/>
    </row>
    <row r="150" spans="3:3" ht="14.25" customHeight="1" x14ac:dyDescent="0.25">
      <c r="C150"/>
    </row>
    <row r="151" spans="3:3" ht="14.25" customHeight="1" x14ac:dyDescent="0.25">
      <c r="C151"/>
    </row>
    <row r="152" spans="3:3" ht="14.25" customHeight="1" x14ac:dyDescent="0.25">
      <c r="C152"/>
    </row>
    <row r="153" spans="3:3" ht="14.25" customHeight="1" x14ac:dyDescent="0.25">
      <c r="C153"/>
    </row>
    <row r="154" spans="3:3" ht="14.25" customHeight="1" x14ac:dyDescent="0.25">
      <c r="C154"/>
    </row>
    <row r="155" spans="3:3" ht="14.25" customHeight="1" x14ac:dyDescent="0.25">
      <c r="C155"/>
    </row>
    <row r="156" spans="3:3" ht="11.25" customHeight="1" x14ac:dyDescent="0.25">
      <c r="C156"/>
    </row>
    <row r="157" spans="3:3" ht="14.25" customHeight="1" x14ac:dyDescent="0.25">
      <c r="C157"/>
    </row>
    <row r="158" spans="3:3" ht="14.25" customHeight="1" x14ac:dyDescent="0.25">
      <c r="C158"/>
    </row>
    <row r="159" spans="3:3" ht="14.25" customHeight="1" x14ac:dyDescent="0.25">
      <c r="C159"/>
    </row>
    <row r="160" spans="3:3" ht="14.25" customHeight="1" x14ac:dyDescent="0.25">
      <c r="C160"/>
    </row>
    <row r="161" spans="3:3" ht="14.25" customHeight="1" x14ac:dyDescent="0.25">
      <c r="C161"/>
    </row>
    <row r="162" spans="3:3" ht="14.25" customHeight="1" x14ac:dyDescent="0.25">
      <c r="C162"/>
    </row>
    <row r="163" spans="3:3" ht="11.25" customHeight="1" x14ac:dyDescent="0.25">
      <c r="C163"/>
    </row>
    <row r="164" spans="3:3" ht="14.25" customHeight="1" x14ac:dyDescent="0.25">
      <c r="C164"/>
    </row>
    <row r="165" spans="3:3" ht="14.25" customHeight="1" x14ac:dyDescent="0.25">
      <c r="C165"/>
    </row>
    <row r="166" spans="3:3" ht="14.25" customHeight="1" x14ac:dyDescent="0.25">
      <c r="C166"/>
    </row>
    <row r="167" spans="3:3" ht="14.25" customHeight="1" x14ac:dyDescent="0.25">
      <c r="C167"/>
    </row>
    <row r="168" spans="3:3" ht="14.25" customHeight="1" x14ac:dyDescent="0.25">
      <c r="C168"/>
    </row>
    <row r="169" spans="3:3" ht="14.25" customHeight="1" x14ac:dyDescent="0.25">
      <c r="C169"/>
    </row>
    <row r="170" spans="3:3" ht="11.25" customHeight="1" x14ac:dyDescent="0.25">
      <c r="C170"/>
    </row>
    <row r="171" spans="3:3" ht="14.25" customHeight="1" x14ac:dyDescent="0.25">
      <c r="C171"/>
    </row>
    <row r="172" spans="3:3" ht="14.25" customHeight="1" x14ac:dyDescent="0.25">
      <c r="C172"/>
    </row>
    <row r="173" spans="3:3" ht="14.25" customHeight="1" x14ac:dyDescent="0.25">
      <c r="C173"/>
    </row>
    <row r="174" spans="3:3" ht="14.25" customHeight="1" x14ac:dyDescent="0.25">
      <c r="C174"/>
    </row>
    <row r="175" spans="3:3" ht="14.25" customHeight="1" x14ac:dyDescent="0.25">
      <c r="C175"/>
    </row>
    <row r="176" spans="3:3" ht="14.25" customHeight="1" x14ac:dyDescent="0.25">
      <c r="C176"/>
    </row>
    <row r="177" spans="3:3" ht="11.25" customHeight="1" x14ac:dyDescent="0.25">
      <c r="C177"/>
    </row>
    <row r="178" spans="3:3" ht="14.25" customHeight="1" x14ac:dyDescent="0.25">
      <c r="C178"/>
    </row>
    <row r="179" spans="3:3" ht="14.25" customHeight="1" x14ac:dyDescent="0.25">
      <c r="C179"/>
    </row>
    <row r="180" spans="3:3" ht="14.25" customHeight="1" x14ac:dyDescent="0.25">
      <c r="C180"/>
    </row>
    <row r="181" spans="3:3" ht="14.25" customHeight="1" x14ac:dyDescent="0.25">
      <c r="C181"/>
    </row>
    <row r="182" spans="3:3" ht="14.25" customHeight="1" x14ac:dyDescent="0.25">
      <c r="C182"/>
    </row>
    <row r="183" spans="3:3" ht="14.25" customHeight="1" x14ac:dyDescent="0.25">
      <c r="C183"/>
    </row>
    <row r="184" spans="3:3" ht="11.25" customHeight="1" x14ac:dyDescent="0.25">
      <c r="C184"/>
    </row>
    <row r="185" spans="3:3" ht="14.25" customHeight="1" x14ac:dyDescent="0.25">
      <c r="C185"/>
    </row>
    <row r="186" spans="3:3" ht="14.25" customHeight="1" x14ac:dyDescent="0.25">
      <c r="C186"/>
    </row>
    <row r="187" spans="3:3" ht="14.25" customHeight="1" x14ac:dyDescent="0.25">
      <c r="C187"/>
    </row>
    <row r="188" spans="3:3" ht="14.25" customHeight="1" x14ac:dyDescent="0.25">
      <c r="C188"/>
    </row>
    <row r="189" spans="3:3" ht="14.25" customHeight="1" x14ac:dyDescent="0.25">
      <c r="C189"/>
    </row>
    <row r="190" spans="3:3" ht="14.25" customHeight="1" x14ac:dyDescent="0.25">
      <c r="C190"/>
    </row>
    <row r="191" spans="3:3" ht="11.25" customHeight="1" x14ac:dyDescent="0.25">
      <c r="C191"/>
    </row>
    <row r="192" spans="3:3" ht="14.25" customHeight="1" x14ac:dyDescent="0.25">
      <c r="C192"/>
    </row>
    <row r="193" spans="3:3" ht="14.25" customHeight="1" x14ac:dyDescent="0.25">
      <c r="C193"/>
    </row>
    <row r="194" spans="3:3" ht="14.25" customHeight="1" x14ac:dyDescent="0.25">
      <c r="C194"/>
    </row>
    <row r="195" spans="3:3" ht="14.25" customHeight="1" x14ac:dyDescent="0.25">
      <c r="C195"/>
    </row>
    <row r="196" spans="3:3" ht="14.25" customHeight="1" x14ac:dyDescent="0.25">
      <c r="C196"/>
    </row>
    <row r="197" spans="3:3" ht="14.25" customHeight="1" x14ac:dyDescent="0.25">
      <c r="C197"/>
    </row>
    <row r="198" spans="3:3" ht="11.25" customHeight="1" x14ac:dyDescent="0.25">
      <c r="C198"/>
    </row>
    <row r="199" spans="3:3" ht="14.25" customHeight="1" x14ac:dyDescent="0.25">
      <c r="C199"/>
    </row>
    <row r="200" spans="3:3" ht="14.25" customHeight="1" x14ac:dyDescent="0.25">
      <c r="C200"/>
    </row>
    <row r="201" spans="3:3" ht="14.25" customHeight="1" x14ac:dyDescent="0.25">
      <c r="C201"/>
    </row>
    <row r="202" spans="3:3" ht="14.25" customHeight="1" x14ac:dyDescent="0.25">
      <c r="C202"/>
    </row>
    <row r="203" spans="3:3" ht="14.25" customHeight="1" x14ac:dyDescent="0.25">
      <c r="C203"/>
    </row>
    <row r="204" spans="3:3" ht="14.25" customHeight="1" x14ac:dyDescent="0.25">
      <c r="C204"/>
    </row>
    <row r="205" spans="3:3" ht="11.25" customHeight="1" x14ac:dyDescent="0.25">
      <c r="C205"/>
    </row>
    <row r="206" spans="3:3" ht="14.25" customHeight="1" x14ac:dyDescent="0.25">
      <c r="C206"/>
    </row>
    <row r="207" spans="3:3" ht="14.25" customHeight="1" x14ac:dyDescent="0.25">
      <c r="C207"/>
    </row>
    <row r="208" spans="3:3" ht="14.25" customHeight="1" x14ac:dyDescent="0.25">
      <c r="C208"/>
    </row>
    <row r="209" spans="3:3" ht="14.25" customHeight="1" x14ac:dyDescent="0.25">
      <c r="C209"/>
    </row>
    <row r="210" spans="3:3" ht="14.25" customHeight="1" x14ac:dyDescent="0.25">
      <c r="C210"/>
    </row>
    <row r="211" spans="3:3" ht="14.25" customHeight="1" x14ac:dyDescent="0.25">
      <c r="C211"/>
    </row>
    <row r="212" spans="3:3" ht="11.25" customHeight="1" x14ac:dyDescent="0.25">
      <c r="C212"/>
    </row>
    <row r="213" spans="3:3" ht="14.25" customHeight="1" x14ac:dyDescent="0.25">
      <c r="C213"/>
    </row>
    <row r="214" spans="3:3" ht="14.25" customHeight="1" x14ac:dyDescent="0.25">
      <c r="C214"/>
    </row>
    <row r="215" spans="3:3" ht="14.25" customHeight="1" x14ac:dyDescent="0.25">
      <c r="C215"/>
    </row>
    <row r="216" spans="3:3" ht="14.25" customHeight="1" x14ac:dyDescent="0.25">
      <c r="C216"/>
    </row>
    <row r="217" spans="3:3" ht="14.25" customHeight="1" x14ac:dyDescent="0.25">
      <c r="C217"/>
    </row>
    <row r="218" spans="3:3" ht="14.25" customHeight="1" x14ac:dyDescent="0.25">
      <c r="C218"/>
    </row>
    <row r="219" spans="3:3" ht="11.25" customHeight="1" x14ac:dyDescent="0.25">
      <c r="C219"/>
    </row>
    <row r="220" spans="3:3" ht="14.25" customHeight="1" x14ac:dyDescent="0.25">
      <c r="C220"/>
    </row>
    <row r="221" spans="3:3" x14ac:dyDescent="0.25">
      <c r="C221"/>
    </row>
    <row r="222" spans="3:3" x14ac:dyDescent="0.25">
      <c r="C222"/>
    </row>
    <row r="223" spans="3:3" x14ac:dyDescent="0.25">
      <c r="C223"/>
    </row>
    <row r="224" spans="3:3" x14ac:dyDescent="0.25">
      <c r="C224"/>
    </row>
    <row r="225" spans="3:3" x14ac:dyDescent="0.25">
      <c r="C225"/>
    </row>
    <row r="226" spans="3:3" x14ac:dyDescent="0.25">
      <c r="C226"/>
    </row>
    <row r="227" spans="3:3" x14ac:dyDescent="0.25">
      <c r="C227"/>
    </row>
    <row r="228" spans="3:3" x14ac:dyDescent="0.25">
      <c r="C228"/>
    </row>
    <row r="229" spans="3:3" x14ac:dyDescent="0.25">
      <c r="C229"/>
    </row>
    <row r="230" spans="3:3" x14ac:dyDescent="0.25">
      <c r="C230"/>
    </row>
    <row r="231" spans="3:3" x14ac:dyDescent="0.25">
      <c r="C231"/>
    </row>
    <row r="232" spans="3:3" x14ac:dyDescent="0.25">
      <c r="C232"/>
    </row>
    <row r="233" spans="3:3" x14ac:dyDescent="0.25">
      <c r="C233"/>
    </row>
    <row r="234" spans="3:3" x14ac:dyDescent="0.25">
      <c r="C234"/>
    </row>
    <row r="235" spans="3:3" x14ac:dyDescent="0.25">
      <c r="C235"/>
    </row>
    <row r="236" spans="3:3" x14ac:dyDescent="0.25">
      <c r="C236"/>
    </row>
    <row r="237" spans="3:3" x14ac:dyDescent="0.25">
      <c r="C237"/>
    </row>
    <row r="238" spans="3:3" x14ac:dyDescent="0.25">
      <c r="C238"/>
    </row>
    <row r="239" spans="3:3" x14ac:dyDescent="0.25">
      <c r="C239"/>
    </row>
    <row r="240" spans="3:3" x14ac:dyDescent="0.25">
      <c r="C240"/>
    </row>
    <row r="241" spans="3:3" x14ac:dyDescent="0.25">
      <c r="C241"/>
    </row>
    <row r="242" spans="3:3" x14ac:dyDescent="0.25">
      <c r="C242"/>
    </row>
    <row r="243" spans="3:3" x14ac:dyDescent="0.25">
      <c r="C243"/>
    </row>
    <row r="244" spans="3:3" x14ac:dyDescent="0.25">
      <c r="C244"/>
    </row>
    <row r="245" spans="3:3" x14ac:dyDescent="0.25">
      <c r="C245"/>
    </row>
    <row r="246" spans="3:3" x14ac:dyDescent="0.25">
      <c r="C246"/>
    </row>
    <row r="247" spans="3:3" x14ac:dyDescent="0.25">
      <c r="C247"/>
    </row>
    <row r="248" spans="3:3" x14ac:dyDescent="0.25">
      <c r="C248"/>
    </row>
    <row r="249" spans="3:3" x14ac:dyDescent="0.25">
      <c r="C249"/>
    </row>
    <row r="250" spans="3:3" x14ac:dyDescent="0.25">
      <c r="C250"/>
    </row>
    <row r="251" spans="3:3" x14ac:dyDescent="0.25">
      <c r="C251"/>
    </row>
    <row r="252" spans="3:3" x14ac:dyDescent="0.25">
      <c r="C252"/>
    </row>
    <row r="253" spans="3:3" x14ac:dyDescent="0.25">
      <c r="C253"/>
    </row>
    <row r="254" spans="3:3" x14ac:dyDescent="0.25">
      <c r="C254"/>
    </row>
    <row r="255" spans="3:3" x14ac:dyDescent="0.25">
      <c r="C255"/>
    </row>
    <row r="256" spans="3:3" x14ac:dyDescent="0.25">
      <c r="C256"/>
    </row>
    <row r="257" spans="3:3" x14ac:dyDescent="0.25">
      <c r="C257"/>
    </row>
    <row r="258" spans="3:3" x14ac:dyDescent="0.25">
      <c r="C258"/>
    </row>
    <row r="259" spans="3:3" x14ac:dyDescent="0.25">
      <c r="C259"/>
    </row>
    <row r="260" spans="3:3" x14ac:dyDescent="0.25">
      <c r="C260"/>
    </row>
    <row r="261" spans="3:3" x14ac:dyDescent="0.25">
      <c r="C261"/>
    </row>
    <row r="262" spans="3:3" x14ac:dyDescent="0.25">
      <c r="C262"/>
    </row>
    <row r="263" spans="3:3" x14ac:dyDescent="0.25">
      <c r="C263"/>
    </row>
    <row r="264" spans="3:3" x14ac:dyDescent="0.25">
      <c r="C264"/>
    </row>
    <row r="265" spans="3:3" x14ac:dyDescent="0.25">
      <c r="C265"/>
    </row>
    <row r="266" spans="3:3" x14ac:dyDescent="0.25">
      <c r="C266"/>
    </row>
    <row r="267" spans="3:3" x14ac:dyDescent="0.25">
      <c r="C267"/>
    </row>
    <row r="268" spans="3:3" x14ac:dyDescent="0.25">
      <c r="C268"/>
    </row>
    <row r="269" spans="3:3" x14ac:dyDescent="0.25">
      <c r="C269"/>
    </row>
    <row r="270" spans="3:3" x14ac:dyDescent="0.25">
      <c r="C270"/>
    </row>
    <row r="271" spans="3:3" x14ac:dyDescent="0.25">
      <c r="C271"/>
    </row>
    <row r="272" spans="3:3" x14ac:dyDescent="0.25">
      <c r="C272"/>
    </row>
    <row r="273" spans="3:3" x14ac:dyDescent="0.25">
      <c r="C273"/>
    </row>
    <row r="274" spans="3:3" x14ac:dyDescent="0.25">
      <c r="C274"/>
    </row>
    <row r="275" spans="3:3" x14ac:dyDescent="0.25">
      <c r="C275"/>
    </row>
    <row r="276" spans="3:3" x14ac:dyDescent="0.25">
      <c r="C276"/>
    </row>
    <row r="277" spans="3:3" x14ac:dyDescent="0.25">
      <c r="C277"/>
    </row>
    <row r="278" spans="3:3" x14ac:dyDescent="0.25">
      <c r="C278"/>
    </row>
    <row r="279" spans="3:3" x14ac:dyDescent="0.25">
      <c r="C279"/>
    </row>
    <row r="280" spans="3:3" x14ac:dyDescent="0.25">
      <c r="C280"/>
    </row>
    <row r="281" spans="3:3" x14ac:dyDescent="0.25">
      <c r="C281"/>
    </row>
    <row r="282" spans="3:3" x14ac:dyDescent="0.25">
      <c r="C282"/>
    </row>
    <row r="283" spans="3:3" x14ac:dyDescent="0.25">
      <c r="C283"/>
    </row>
    <row r="284" spans="3:3" x14ac:dyDescent="0.25">
      <c r="C284"/>
    </row>
    <row r="285" spans="3:3" x14ac:dyDescent="0.25">
      <c r="C285"/>
    </row>
    <row r="286" spans="3:3" x14ac:dyDescent="0.25">
      <c r="C286"/>
    </row>
    <row r="287" spans="3:3" x14ac:dyDescent="0.25">
      <c r="C287"/>
    </row>
  </sheetData>
  <mergeCells count="2">
    <mergeCell ref="A1:K1"/>
    <mergeCell ref="U1:W1"/>
  </mergeCells>
  <conditionalFormatting sqref="O3 S3">
    <cfRule type="containsText" dxfId="211" priority="371" operator="containsText" text="High">
      <formula>NOT(ISERROR(SEARCH("High",O3)))</formula>
    </cfRule>
    <cfRule type="containsText" dxfId="210" priority="372" operator="containsText" text="Extreme">
      <formula>NOT(ISERROR(SEARCH("Extreme",O3)))</formula>
    </cfRule>
    <cfRule type="containsText" dxfId="209" priority="369" operator="containsText" text="Low">
      <formula>NOT(ISERROR(SEARCH("Low",O3)))</formula>
    </cfRule>
    <cfRule type="containsText" dxfId="208" priority="370" operator="containsText" text="Medium">
      <formula>NOT(ISERROR(SEARCH("Medium",O3)))</formula>
    </cfRule>
  </conditionalFormatting>
  <conditionalFormatting sqref="O3:O6 S5:S6">
    <cfRule type="containsText" dxfId="207" priority="308" operator="containsText" text="Extreme">
      <formula>NOT(ISERROR(SEARCH("Extreme",O3)))</formula>
    </cfRule>
    <cfRule type="containsText" dxfId="206" priority="306" operator="containsText" text="Medium">
      <formula>NOT(ISERROR(SEARCH("Medium",O3)))</formula>
    </cfRule>
  </conditionalFormatting>
  <conditionalFormatting sqref="O3:O12">
    <cfRule type="containsText" dxfId="205" priority="239" operator="containsText" text="Med-High">
      <formula>NOT(ISERROR(SEARCH("Med-High",O3)))</formula>
    </cfRule>
  </conditionalFormatting>
  <conditionalFormatting sqref="O4:O6 S5:S6">
    <cfRule type="containsText" dxfId="204" priority="307" operator="containsText" text="High">
      <formula>NOT(ISERROR(SEARCH("High",O4)))</formula>
    </cfRule>
  </conditionalFormatting>
  <conditionalFormatting sqref="O4:O8 O10 S7:S8">
    <cfRule type="containsText" dxfId="203" priority="289" operator="containsText" text="Low">
      <formula>NOT(ISERROR(SEARCH("Low",O4)))</formula>
    </cfRule>
  </conditionalFormatting>
  <conditionalFormatting sqref="O4:O8 S7:S8 O10">
    <cfRule type="containsText" dxfId="202" priority="292" operator="containsText" text="Extreme">
      <formula>NOT(ISERROR(SEARCH("Extreme",O4)))</formula>
    </cfRule>
    <cfRule type="containsText" dxfId="201" priority="290" operator="containsText" text="Medium">
      <formula>NOT(ISERROR(SEARCH("Medium",O4)))</formula>
    </cfRule>
  </conditionalFormatting>
  <conditionalFormatting sqref="O7:O8 S7:S8 O10">
    <cfRule type="containsText" dxfId="200" priority="291" operator="containsText" text="High">
      <formula>NOT(ISERROR(SEARCH("High",O7)))</formula>
    </cfRule>
  </conditionalFormatting>
  <conditionalFormatting sqref="O7:O10">
    <cfRule type="containsText" dxfId="199" priority="282" operator="containsText" text="Medium">
      <formula>NOT(ISERROR(SEARCH("Medium",O7)))</formula>
    </cfRule>
    <cfRule type="containsText" dxfId="198" priority="281" operator="containsText" text="Low">
      <formula>NOT(ISERROR(SEARCH("Low",O7)))</formula>
    </cfRule>
    <cfRule type="containsText" dxfId="197" priority="284" operator="containsText" text="Extreme">
      <formula>NOT(ISERROR(SEARCH("Extreme",O7)))</formula>
    </cfRule>
  </conditionalFormatting>
  <conditionalFormatting sqref="O9">
    <cfRule type="containsText" dxfId="196" priority="283" operator="containsText" text="High">
      <formula>NOT(ISERROR(SEARCH("High",O9)))</formula>
    </cfRule>
    <cfRule type="containsText" dxfId="195" priority="280" operator="containsText" text="Extreme">
      <formula>NOT(ISERROR(SEARCH("Extreme",O9)))</formula>
    </cfRule>
    <cfRule type="containsText" dxfId="194" priority="278" operator="containsText" text="Medium">
      <formula>NOT(ISERROR(SEARCH("Medium",O9)))</formula>
    </cfRule>
    <cfRule type="containsText" dxfId="193" priority="277" operator="containsText" text="Low">
      <formula>NOT(ISERROR(SEARCH("Low",O9)))</formula>
    </cfRule>
  </conditionalFormatting>
  <conditionalFormatting sqref="O11">
    <cfRule type="containsText" dxfId="192" priority="260" operator="containsText" text="Extreme">
      <formula>NOT(ISERROR(SEARCH("Extreme",O11)))</formula>
    </cfRule>
    <cfRule type="containsText" dxfId="191" priority="259" operator="containsText" text="High">
      <formula>NOT(ISERROR(SEARCH("High",O11)))</formula>
    </cfRule>
    <cfRule type="containsText" dxfId="190" priority="258" operator="containsText" text="Medium">
      <formula>NOT(ISERROR(SEARCH("Medium",O11)))</formula>
    </cfRule>
    <cfRule type="containsText" dxfId="189" priority="257" operator="containsText" text="Low">
      <formula>NOT(ISERROR(SEARCH("Low",O11)))</formula>
    </cfRule>
  </conditionalFormatting>
  <conditionalFormatting sqref="O11:O12">
    <cfRule type="containsText" dxfId="188" priority="244" operator="containsText" text="Extreme">
      <formula>NOT(ISERROR(SEARCH("Extreme",O11)))</formula>
    </cfRule>
    <cfRule type="containsText" dxfId="187" priority="241" operator="containsText" text="Low">
      <formula>NOT(ISERROR(SEARCH("Low",O11)))</formula>
    </cfRule>
    <cfRule type="containsText" dxfId="186" priority="242" operator="containsText" text="Medium">
      <formula>NOT(ISERROR(SEARCH("Medium",O11)))</formula>
    </cfRule>
  </conditionalFormatting>
  <conditionalFormatting sqref="O12">
    <cfRule type="containsText" dxfId="185" priority="240" operator="containsText" text="Extreme">
      <formula>NOT(ISERROR(SEARCH("Extreme",O12)))</formula>
    </cfRule>
    <cfRule type="containsText" dxfId="184" priority="243" operator="containsText" text="High">
      <formula>NOT(ISERROR(SEARCH("High",O12)))</formula>
    </cfRule>
  </conditionalFormatting>
  <conditionalFormatting sqref="O12:O13 S12:S13">
    <cfRule type="containsText" dxfId="183" priority="226" operator="containsText" text="Medium">
      <formula>NOT(ISERROR(SEARCH("Medium",O12)))</formula>
    </cfRule>
    <cfRule type="containsText" dxfId="182" priority="225" operator="containsText" text="Low">
      <formula>NOT(ISERROR(SEARCH("Low",O12)))</formula>
    </cfRule>
  </conditionalFormatting>
  <conditionalFormatting sqref="O13 S13">
    <cfRule type="containsText" dxfId="181" priority="227" operator="containsText" text="High">
      <formula>NOT(ISERROR(SEARCH("High",O13)))</formula>
    </cfRule>
    <cfRule type="containsText" dxfId="180" priority="228" operator="containsText" text="Extreme">
      <formula>NOT(ISERROR(SEARCH("Extreme",O13)))</formula>
    </cfRule>
  </conditionalFormatting>
  <conditionalFormatting sqref="O13:O14 S13:S14">
    <cfRule type="containsText" dxfId="179" priority="214" operator="containsText" text="Low">
      <formula>NOT(ISERROR(SEARCH("Low",O13)))</formula>
    </cfRule>
    <cfRule type="containsText" dxfId="178" priority="212" operator="containsText" text="Med-High">
      <formula>NOT(ISERROR(SEARCH("Med-High",O13)))</formula>
    </cfRule>
    <cfRule type="containsText" dxfId="177" priority="215" operator="containsText" text="Medium">
      <formula>NOT(ISERROR(SEARCH("Medium",O13)))</formula>
    </cfRule>
    <cfRule type="containsText" dxfId="176" priority="217" operator="containsText" text="Extreme">
      <formula>NOT(ISERROR(SEARCH("Extreme",O13)))</formula>
    </cfRule>
  </conditionalFormatting>
  <conditionalFormatting sqref="O14 S14">
    <cfRule type="containsText" dxfId="175" priority="213" operator="containsText" text="Extreme">
      <formula>NOT(ISERROR(SEARCH("Extreme",O14)))</formula>
    </cfRule>
    <cfRule type="containsText" dxfId="174" priority="216" operator="containsText" text="High">
      <formula>NOT(ISERROR(SEARCH("High",O14)))</formula>
    </cfRule>
  </conditionalFormatting>
  <conditionalFormatting sqref="O14:O15 S14:S15">
    <cfRule type="containsText" dxfId="173" priority="207" operator="containsText" text="Medium">
      <formula>NOT(ISERROR(SEARCH("Medium",O14)))</formula>
    </cfRule>
    <cfRule type="containsText" dxfId="172" priority="206" operator="containsText" text="Low">
      <formula>NOT(ISERROR(SEARCH("Low",O14)))</formula>
    </cfRule>
  </conditionalFormatting>
  <conditionalFormatting sqref="O15 S15">
    <cfRule type="containsText" dxfId="171" priority="204" operator="containsText" text="Med-High">
      <formula>NOT(ISERROR(SEARCH("Med-High",O15)))</formula>
    </cfRule>
    <cfRule type="containsText" dxfId="170" priority="209" operator="containsText" text="Extreme">
      <formula>NOT(ISERROR(SEARCH("Extreme",O15)))</formula>
    </cfRule>
    <cfRule type="containsText" dxfId="169" priority="208" operator="containsText" text="High">
      <formula>NOT(ISERROR(SEARCH("High",O15)))</formula>
    </cfRule>
    <cfRule type="containsText" dxfId="168" priority="205" operator="containsText" text="Extreme">
      <formula>NOT(ISERROR(SEARCH("Extreme",O15)))</formula>
    </cfRule>
  </conditionalFormatting>
  <conditionalFormatting sqref="O15:O16 S15:S16">
    <cfRule type="containsText" dxfId="167" priority="199" operator="containsText" text="Medium">
      <formula>NOT(ISERROR(SEARCH("Medium",O15)))</formula>
    </cfRule>
    <cfRule type="containsText" dxfId="166" priority="198" operator="containsText" text="Low">
      <formula>NOT(ISERROR(SEARCH("Low",O15)))</formula>
    </cfRule>
  </conditionalFormatting>
  <conditionalFormatting sqref="O16 S16">
    <cfRule type="containsText" dxfId="165" priority="201" operator="containsText" text="Extreme">
      <formula>NOT(ISERROR(SEARCH("Extreme",O16)))</formula>
    </cfRule>
    <cfRule type="containsText" dxfId="164" priority="200" operator="containsText" text="High">
      <formula>NOT(ISERROR(SEARCH("High",O16)))</formula>
    </cfRule>
  </conditionalFormatting>
  <conditionalFormatting sqref="O16:O17 S16:S17">
    <cfRule type="containsText" dxfId="163" priority="187" operator="containsText" text="Low">
      <formula>NOT(ISERROR(SEARCH("Low",O16)))</formula>
    </cfRule>
    <cfRule type="containsText" dxfId="162" priority="190" operator="containsText" text="Extreme">
      <formula>NOT(ISERROR(SEARCH("Extreme",O16)))</formula>
    </cfRule>
    <cfRule type="containsText" dxfId="161" priority="188" operator="containsText" text="Medium">
      <formula>NOT(ISERROR(SEARCH("Medium",O16)))</formula>
    </cfRule>
  </conditionalFormatting>
  <conditionalFormatting sqref="O16:O23 S16:S23">
    <cfRule type="containsText" dxfId="160" priority="132" operator="containsText" text="Med-High">
      <formula>NOT(ISERROR(SEARCH("Med-High",O16)))</formula>
    </cfRule>
  </conditionalFormatting>
  <conditionalFormatting sqref="O17 S17">
    <cfRule type="containsText" dxfId="159" priority="189" operator="containsText" text="High">
      <formula>NOT(ISERROR(SEARCH("High",O17)))</formula>
    </cfRule>
  </conditionalFormatting>
  <conditionalFormatting sqref="O17:O18 S17:S18">
    <cfRule type="containsText" dxfId="158" priority="179" operator="containsText" text="Extreme">
      <formula>NOT(ISERROR(SEARCH("Extreme",O17)))</formula>
    </cfRule>
    <cfRule type="containsText" dxfId="157" priority="176" operator="containsText" text="Low">
      <formula>NOT(ISERROR(SEARCH("Low",O17)))</formula>
    </cfRule>
    <cfRule type="containsText" dxfId="156" priority="177" operator="containsText" text="Medium">
      <formula>NOT(ISERROR(SEARCH("Medium",O17)))</formula>
    </cfRule>
  </conditionalFormatting>
  <conditionalFormatting sqref="O18 S18">
    <cfRule type="containsText" dxfId="155" priority="178" operator="containsText" text="High">
      <formula>NOT(ISERROR(SEARCH("High",O18)))</formula>
    </cfRule>
  </conditionalFormatting>
  <conditionalFormatting sqref="O18:O19 S18:S19">
    <cfRule type="containsText" dxfId="154" priority="165" operator="containsText" text="Low">
      <formula>NOT(ISERROR(SEARCH("Low",O18)))</formula>
    </cfRule>
    <cfRule type="containsText" dxfId="153" priority="168" operator="containsText" text="Extreme">
      <formula>NOT(ISERROR(SEARCH("Extreme",O18)))</formula>
    </cfRule>
    <cfRule type="containsText" dxfId="152" priority="166" operator="containsText" text="Medium">
      <formula>NOT(ISERROR(SEARCH("Medium",O18)))</formula>
    </cfRule>
  </conditionalFormatting>
  <conditionalFormatting sqref="O19 S19">
    <cfRule type="containsText" dxfId="151" priority="167" operator="containsText" text="High">
      <formula>NOT(ISERROR(SEARCH("High",O19)))</formula>
    </cfRule>
  </conditionalFormatting>
  <conditionalFormatting sqref="O19:O20 S19:S20">
    <cfRule type="containsText" dxfId="150" priority="154" operator="containsText" text="Low">
      <formula>NOT(ISERROR(SEARCH("Low",O19)))</formula>
    </cfRule>
    <cfRule type="containsText" dxfId="149" priority="157" operator="containsText" text="Extreme">
      <formula>NOT(ISERROR(SEARCH("Extreme",O19)))</formula>
    </cfRule>
    <cfRule type="containsText" dxfId="148" priority="155" operator="containsText" text="Medium">
      <formula>NOT(ISERROR(SEARCH("Medium",O19)))</formula>
    </cfRule>
  </conditionalFormatting>
  <conditionalFormatting sqref="O20 S20">
    <cfRule type="containsText" dxfId="147" priority="156" operator="containsText" text="High">
      <formula>NOT(ISERROR(SEARCH("High",O20)))</formula>
    </cfRule>
  </conditionalFormatting>
  <conditionalFormatting sqref="O20:O23">
    <cfRule type="containsText" dxfId="146" priority="143" operator="containsText" text="Low">
      <formula>NOT(ISERROR(SEARCH("Low",O20)))</formula>
    </cfRule>
    <cfRule type="containsText" dxfId="145" priority="144" operator="containsText" text="Medium">
      <formula>NOT(ISERROR(SEARCH("Medium",O20)))</formula>
    </cfRule>
    <cfRule type="containsText" dxfId="144" priority="146" operator="containsText" text="Extreme">
      <formula>NOT(ISERROR(SEARCH("Extreme",O20)))</formula>
    </cfRule>
  </conditionalFormatting>
  <conditionalFormatting sqref="O21">
    <cfRule type="containsText" dxfId="143" priority="141" operator="containsText" text="Medium">
      <formula>NOT(ISERROR(SEARCH("Medium",O21)))</formula>
    </cfRule>
    <cfRule type="containsText" dxfId="142" priority="142" operator="containsText" text="Extreme">
      <formula>NOT(ISERROR(SEARCH("Extreme",O21)))</formula>
    </cfRule>
    <cfRule type="containsText" dxfId="141" priority="140" operator="containsText" text="Low">
      <formula>NOT(ISERROR(SEARCH("Low",O21)))</formula>
    </cfRule>
    <cfRule type="containsText" dxfId="140" priority="145" operator="containsText" text="High">
      <formula>NOT(ISERROR(SEARCH("High",O21)))</formula>
    </cfRule>
  </conditionalFormatting>
  <conditionalFormatting sqref="O22">
    <cfRule type="containsText" dxfId="139" priority="128" operator="containsText" text="Low">
      <formula>NOT(ISERROR(SEARCH("Low",O22)))</formula>
    </cfRule>
    <cfRule type="containsText" dxfId="138" priority="129" operator="containsText" text="Medium">
      <formula>NOT(ISERROR(SEARCH("Medium",O22)))</formula>
    </cfRule>
    <cfRule type="containsText" dxfId="137" priority="130" operator="containsText" text="High">
      <formula>NOT(ISERROR(SEARCH("High",O22)))</formula>
    </cfRule>
    <cfRule type="containsText" dxfId="136" priority="131" operator="containsText" text="Extreme">
      <formula>NOT(ISERROR(SEARCH("Extreme",O22)))</formula>
    </cfRule>
    <cfRule type="containsText" dxfId="135" priority="124" operator="containsText" text="Low">
      <formula>NOT(ISERROR(SEARCH("Low",O22)))</formula>
    </cfRule>
    <cfRule type="containsText" dxfId="134" priority="125" operator="containsText" text="Medium">
      <formula>NOT(ISERROR(SEARCH("Medium",O22)))</formula>
    </cfRule>
    <cfRule type="containsText" dxfId="133" priority="126" operator="containsText" text="Med-High">
      <formula>NOT(ISERROR(SEARCH("Med-High",O22)))</formula>
    </cfRule>
    <cfRule type="containsText" dxfId="132" priority="127" operator="containsText" text="Extreme">
      <formula>NOT(ISERROR(SEARCH("Extreme",O22)))</formula>
    </cfRule>
  </conditionalFormatting>
  <conditionalFormatting sqref="O22:O24 S22:S24">
    <cfRule type="containsText" dxfId="131" priority="107" operator="containsText" text="Extreme">
      <formula>NOT(ISERROR(SEARCH("Extreme",O22)))</formula>
    </cfRule>
    <cfRule type="containsText" dxfId="130" priority="106" operator="containsText" text="High">
      <formula>NOT(ISERROR(SEARCH("High",O22)))</formula>
    </cfRule>
    <cfRule type="containsText" dxfId="129" priority="104" operator="containsText" text="Low">
      <formula>NOT(ISERROR(SEARCH("Low",O22)))</formula>
    </cfRule>
    <cfRule type="containsText" dxfId="128" priority="105" operator="containsText" text="Medium">
      <formula>NOT(ISERROR(SEARCH("Medium",O22)))</formula>
    </cfRule>
  </conditionalFormatting>
  <conditionalFormatting sqref="O24 S24">
    <cfRule type="containsText" dxfId="127" priority="103" operator="containsText" text="Extreme">
      <formula>NOT(ISERROR(SEARCH("Extreme",O24)))</formula>
    </cfRule>
    <cfRule type="containsText" dxfId="126" priority="102" operator="containsText" text="Med-High">
      <formula>NOT(ISERROR(SEARCH("Med-High",O24)))</formula>
    </cfRule>
  </conditionalFormatting>
  <conditionalFormatting sqref="O25 S25 O28">
    <cfRule type="containsText" dxfId="125" priority="95" operator="containsText" text="Extreme">
      <formula>NOT(ISERROR(SEARCH("Extreme",O25)))</formula>
    </cfRule>
    <cfRule type="containsText" dxfId="124" priority="94" operator="containsText" text="Med-High">
      <formula>NOT(ISERROR(SEARCH("Med-High",O25)))</formula>
    </cfRule>
  </conditionalFormatting>
  <conditionalFormatting sqref="O25 S25">
    <cfRule type="containsText" dxfId="123" priority="93" operator="containsText" text="Medium">
      <formula>NOT(ISERROR(SEARCH("Medium",O25)))</formula>
    </cfRule>
    <cfRule type="containsText" dxfId="122" priority="92" operator="containsText" text="Low">
      <formula>NOT(ISERROR(SEARCH("Low",O25)))</formula>
    </cfRule>
  </conditionalFormatting>
  <conditionalFormatting sqref="O25">
    <cfRule type="containsText" dxfId="121" priority="91" operator="containsText" text="Extreme">
      <formula>NOT(ISERROR(SEARCH("Extreme",O25)))</formula>
    </cfRule>
    <cfRule type="containsText" dxfId="120" priority="90" operator="containsText" text="High">
      <formula>NOT(ISERROR(SEARCH("High",O25)))</formula>
    </cfRule>
    <cfRule type="containsText" dxfId="119" priority="89" operator="containsText" text="Medium">
      <formula>NOT(ISERROR(SEARCH("Medium",O25)))</formula>
    </cfRule>
    <cfRule type="containsText" dxfId="118" priority="88" operator="containsText" text="Low">
      <formula>NOT(ISERROR(SEARCH("Low",O25)))</formula>
    </cfRule>
    <cfRule type="containsText" dxfId="117" priority="87" operator="containsText" text="Extreme">
      <formula>NOT(ISERROR(SEARCH("Extreme",O25)))</formula>
    </cfRule>
    <cfRule type="containsText" dxfId="116" priority="86" operator="containsText" text="Med-High">
      <formula>NOT(ISERROR(SEARCH("Med-High",O25)))</formula>
    </cfRule>
  </conditionalFormatting>
  <conditionalFormatting sqref="O25:O28">
    <cfRule type="containsText" dxfId="115" priority="74" operator="containsText" text="Medium">
      <formula>NOT(ISERROR(SEARCH("Medium",O25)))</formula>
    </cfRule>
    <cfRule type="containsText" dxfId="114" priority="73" operator="containsText" text="Low">
      <formula>NOT(ISERROR(SEARCH("Low",O25)))</formula>
    </cfRule>
  </conditionalFormatting>
  <conditionalFormatting sqref="O26:O27">
    <cfRule type="containsText" dxfId="113" priority="75" operator="containsText" text="Extreme">
      <formula>NOT(ISERROR(SEARCH("Extreme",O26)))</formula>
    </cfRule>
  </conditionalFormatting>
  <conditionalFormatting sqref="O28">
    <cfRule type="containsText" dxfId="112" priority="60" operator="containsText" text="Medium">
      <formula>NOT(ISERROR(SEARCH("Medium",O28)))</formula>
    </cfRule>
    <cfRule type="containsText" dxfId="111" priority="61" operator="containsText" text="Extreme">
      <formula>NOT(ISERROR(SEARCH("Extreme",O28)))</formula>
    </cfRule>
  </conditionalFormatting>
  <conditionalFormatting sqref="O28:O29 S29">
    <cfRule type="containsText" dxfId="110" priority="55" operator="containsText" text="High">
      <formula>NOT(ISERROR(SEARCH("High",O28)))</formula>
    </cfRule>
  </conditionalFormatting>
  <conditionalFormatting sqref="O29 S29">
    <cfRule type="containsText" dxfId="109" priority="56" operator="containsText" text="Extreme">
      <formula>NOT(ISERROR(SEARCH("Extreme",O29)))</formula>
    </cfRule>
    <cfRule type="containsText" dxfId="108" priority="51" operator="containsText" text="Med-High">
      <formula>NOT(ISERROR(SEARCH("Med-High",O29)))</formula>
    </cfRule>
    <cfRule type="containsText" dxfId="107" priority="52" operator="containsText" text="Extreme">
      <formula>NOT(ISERROR(SEARCH("Extreme",O29)))</formula>
    </cfRule>
  </conditionalFormatting>
  <conditionalFormatting sqref="O29:O30">
    <cfRule type="containsText" dxfId="106" priority="44" operator="containsText" text="Medium">
      <formula>NOT(ISERROR(SEARCH("Medium",O29)))</formula>
    </cfRule>
    <cfRule type="containsText" dxfId="105" priority="43" operator="containsText" text="Low">
      <formula>NOT(ISERROR(SEARCH("Low",O29)))</formula>
    </cfRule>
  </conditionalFormatting>
  <conditionalFormatting sqref="O30">
    <cfRule type="containsText" dxfId="104" priority="46" operator="containsText" text="Extreme">
      <formula>NOT(ISERROR(SEARCH("Extreme",O30)))</formula>
    </cfRule>
    <cfRule type="containsText" dxfId="103" priority="45" operator="containsText" text="High">
      <formula>NOT(ISERROR(SEARCH("High",O30)))</formula>
    </cfRule>
    <cfRule type="containsText" dxfId="102" priority="38" operator="containsText" text="Extreme">
      <formula>NOT(ISERROR(SEARCH("Extreme",O30)))</formula>
    </cfRule>
    <cfRule type="containsText" dxfId="101" priority="37" operator="containsText" text="Medium">
      <formula>NOT(ISERROR(SEARCH("Medium",O30)))</formula>
    </cfRule>
  </conditionalFormatting>
  <conditionalFormatting sqref="O30:O32 S30:S32">
    <cfRule type="containsText" dxfId="100" priority="12" operator="containsText" text="Med-High">
      <formula>NOT(ISERROR(SEARCH("Med-High",O30)))</formula>
    </cfRule>
  </conditionalFormatting>
  <conditionalFormatting sqref="O31">
    <cfRule type="containsText" dxfId="99" priority="28" operator="containsText" text="Extreme">
      <formula>NOT(ISERROR(SEARCH("Extreme",O31)))</formula>
    </cfRule>
    <cfRule type="containsText" dxfId="98" priority="27" operator="containsText" text="Medium">
      <formula>NOT(ISERROR(SEARCH("Medium",O31)))</formula>
    </cfRule>
  </conditionalFormatting>
  <conditionalFormatting sqref="O31:O32 S32">
    <cfRule type="containsText" dxfId="97" priority="15" operator="containsText" text="Medium">
      <formula>NOT(ISERROR(SEARCH("Medium",O31)))</formula>
    </cfRule>
  </conditionalFormatting>
  <conditionalFormatting sqref="O31:O32">
    <cfRule type="containsText" dxfId="96" priority="18" operator="containsText" text="High">
      <formula>NOT(ISERROR(SEARCH("High",O31)))</formula>
    </cfRule>
  </conditionalFormatting>
  <conditionalFormatting sqref="O32 S32">
    <cfRule type="containsText" dxfId="95" priority="14" operator="containsText" text="Low">
      <formula>NOT(ISERROR(SEARCH("Low",O32)))</formula>
    </cfRule>
    <cfRule type="containsText" dxfId="94" priority="13" operator="containsText" text="Extreme">
      <formula>NOT(ISERROR(SEARCH("Extreme",O32)))</formula>
    </cfRule>
  </conditionalFormatting>
  <conditionalFormatting sqref="O32:O33 S32:S33">
    <cfRule type="containsText" dxfId="93" priority="6" operator="containsText" text="Medium">
      <formula>NOT(ISERROR(SEARCH("Medium",O32)))</formula>
    </cfRule>
    <cfRule type="containsText" dxfId="92" priority="5" operator="containsText" text="Low">
      <formula>NOT(ISERROR(SEARCH("Low",O32)))</formula>
    </cfRule>
  </conditionalFormatting>
  <conditionalFormatting sqref="O33 S33">
    <cfRule type="containsText" dxfId="91" priority="4" operator="containsText" text="Extreme">
      <formula>NOT(ISERROR(SEARCH("Extreme",O33)))</formula>
    </cfRule>
    <cfRule type="containsText" dxfId="90" priority="2" operator="containsText" text="Medium">
      <formula>NOT(ISERROR(SEARCH("Medium",O33)))</formula>
    </cfRule>
    <cfRule type="containsText" dxfId="89" priority="3" operator="containsText" text="Med-High">
      <formula>NOT(ISERROR(SEARCH("Med-High",O33)))</formula>
    </cfRule>
    <cfRule type="containsText" dxfId="88" priority="1" operator="containsText" text="Low">
      <formula>NOT(ISERROR(SEARCH("Low",O33)))</formula>
    </cfRule>
  </conditionalFormatting>
  <conditionalFormatting sqref="O33">
    <cfRule type="containsText" dxfId="87" priority="9" operator="containsText" text="High">
      <formula>NOT(ISERROR(SEARCH("High",O33)))</formula>
    </cfRule>
  </conditionalFormatting>
  <conditionalFormatting sqref="S3:S6">
    <cfRule type="containsText" dxfId="86" priority="297" operator="containsText" text="Low">
      <formula>NOT(ISERROR(SEARCH("Low",S3)))</formula>
    </cfRule>
    <cfRule type="containsText" dxfId="85" priority="298" operator="containsText" text="Medium">
      <formula>NOT(ISERROR(SEARCH("Medium",S3)))</formula>
    </cfRule>
    <cfRule type="containsText" dxfId="84" priority="300" operator="containsText" text="Extreme">
      <formula>NOT(ISERROR(SEARCH("Extreme",S3)))</formula>
    </cfRule>
  </conditionalFormatting>
  <conditionalFormatting sqref="S3:S12">
    <cfRule type="containsText" dxfId="83" priority="231" operator="containsText" text="Med-High">
      <formula>NOT(ISERROR(SEARCH("Med-High",S3)))</formula>
    </cfRule>
  </conditionalFormatting>
  <conditionalFormatting sqref="S4">
    <cfRule type="containsText" dxfId="82" priority="293" operator="containsText" text="Low">
      <formula>NOT(ISERROR(SEARCH("Low",S4)))</formula>
    </cfRule>
    <cfRule type="containsText" dxfId="81" priority="294" operator="containsText" text="Medium">
      <formula>NOT(ISERROR(SEARCH("Medium",S4)))</formula>
    </cfRule>
    <cfRule type="containsText" dxfId="80" priority="296" operator="containsText" text="Extreme">
      <formula>NOT(ISERROR(SEARCH("Extreme",S4)))</formula>
    </cfRule>
    <cfRule type="containsText" dxfId="79" priority="299" operator="containsText" text="High">
      <formula>NOT(ISERROR(SEARCH("High",S4)))</formula>
    </cfRule>
  </conditionalFormatting>
  <conditionalFormatting sqref="S5:S6 O3:O6">
    <cfRule type="containsText" dxfId="78" priority="305" operator="containsText" text="Low">
      <formula>NOT(ISERROR(SEARCH("Low",O3)))</formula>
    </cfRule>
  </conditionalFormatting>
  <conditionalFormatting sqref="S7:S9">
    <cfRule type="containsText" dxfId="77" priority="273" operator="containsText" text="Low">
      <formula>NOT(ISERROR(SEARCH("Low",S7)))</formula>
    </cfRule>
    <cfRule type="containsText" dxfId="76" priority="274" operator="containsText" text="Medium">
      <formula>NOT(ISERROR(SEARCH("Medium",S7)))</formula>
    </cfRule>
    <cfRule type="containsText" dxfId="75" priority="276" operator="containsText" text="Extreme">
      <formula>NOT(ISERROR(SEARCH("Extreme",S7)))</formula>
    </cfRule>
  </conditionalFormatting>
  <conditionalFormatting sqref="S9">
    <cfRule type="containsText" dxfId="74" priority="275" operator="containsText" text="High">
      <formula>NOT(ISERROR(SEARCH("High",S9)))</formula>
    </cfRule>
  </conditionalFormatting>
  <conditionalFormatting sqref="S9:S10">
    <cfRule type="containsText" dxfId="73" priority="265" operator="containsText" text="Low">
      <formula>NOT(ISERROR(SEARCH("Low",S9)))</formula>
    </cfRule>
    <cfRule type="containsText" dxfId="72" priority="266" operator="containsText" text="Medium">
      <formula>NOT(ISERROR(SEARCH("Medium",S9)))</formula>
    </cfRule>
    <cfRule type="containsText" dxfId="71" priority="268" operator="containsText" text="Extreme">
      <formula>NOT(ISERROR(SEARCH("Extreme",S9)))</formula>
    </cfRule>
  </conditionalFormatting>
  <conditionalFormatting sqref="S10">
    <cfRule type="containsText" dxfId="70" priority="267" operator="containsText" text="High">
      <formula>NOT(ISERROR(SEARCH("High",S10)))</formula>
    </cfRule>
  </conditionalFormatting>
  <conditionalFormatting sqref="S10:S11">
    <cfRule type="containsText" dxfId="69" priority="250" operator="containsText" text="Medium">
      <formula>NOT(ISERROR(SEARCH("Medium",S10)))</formula>
    </cfRule>
    <cfRule type="containsText" dxfId="68" priority="252" operator="containsText" text="Extreme">
      <formula>NOT(ISERROR(SEARCH("Extreme",S10)))</formula>
    </cfRule>
    <cfRule type="containsText" dxfId="67" priority="249" operator="containsText" text="Low">
      <formula>NOT(ISERROR(SEARCH("Low",S10)))</formula>
    </cfRule>
  </conditionalFormatting>
  <conditionalFormatting sqref="S11">
    <cfRule type="containsText" dxfId="66" priority="251" operator="containsText" text="High">
      <formula>NOT(ISERROR(SEARCH("High",S11)))</formula>
    </cfRule>
  </conditionalFormatting>
  <conditionalFormatting sqref="S11:S12">
    <cfRule type="containsText" dxfId="65" priority="233" operator="containsText" text="Low">
      <formula>NOT(ISERROR(SEARCH("Low",S11)))</formula>
    </cfRule>
    <cfRule type="containsText" dxfId="64" priority="236" operator="containsText" text="Extreme">
      <formula>NOT(ISERROR(SEARCH("Extreme",S11)))</formula>
    </cfRule>
    <cfRule type="containsText" dxfId="63" priority="234" operator="containsText" text="Medium">
      <formula>NOT(ISERROR(SEARCH("Medium",S11)))</formula>
    </cfRule>
  </conditionalFormatting>
  <conditionalFormatting sqref="S12">
    <cfRule type="containsText" dxfId="62" priority="232" operator="containsText" text="Extreme">
      <formula>NOT(ISERROR(SEARCH("Extreme",S12)))</formula>
    </cfRule>
    <cfRule type="containsText" dxfId="61" priority="235" operator="containsText" text="High">
      <formula>NOT(ISERROR(SEARCH("High",S12)))</formula>
    </cfRule>
  </conditionalFormatting>
  <conditionalFormatting sqref="S20:S23">
    <cfRule type="containsText" dxfId="60" priority="139" operator="containsText" text="Extreme">
      <formula>NOT(ISERROR(SEARCH("Extreme",S20)))</formula>
    </cfRule>
    <cfRule type="containsText" dxfId="59" priority="137" operator="containsText" text="Medium">
      <formula>NOT(ISERROR(SEARCH("Medium",S20)))</formula>
    </cfRule>
    <cfRule type="containsText" dxfId="58" priority="136" operator="containsText" text="Low">
      <formula>NOT(ISERROR(SEARCH("Low",S20)))</formula>
    </cfRule>
  </conditionalFormatting>
  <conditionalFormatting sqref="S21">
    <cfRule type="containsText" dxfId="57" priority="134" operator="containsText" text="Medium">
      <formula>NOT(ISERROR(SEARCH("Medium",S21)))</formula>
    </cfRule>
    <cfRule type="containsText" dxfId="56" priority="135" operator="containsText" text="Extreme">
      <formula>NOT(ISERROR(SEARCH("Extreme",S21)))</formula>
    </cfRule>
    <cfRule type="containsText" dxfId="55" priority="138" operator="containsText" text="High">
      <formula>NOT(ISERROR(SEARCH("High",S21)))</formula>
    </cfRule>
    <cfRule type="containsText" dxfId="54" priority="133" operator="containsText" text="Low">
      <formula>NOT(ISERROR(SEARCH("Low",S21)))</formula>
    </cfRule>
  </conditionalFormatting>
  <conditionalFormatting sqref="S22">
    <cfRule type="containsText" dxfId="53" priority="116" operator="containsText" text="Low">
      <formula>NOT(ISERROR(SEARCH("Low",S22)))</formula>
    </cfRule>
    <cfRule type="containsText" dxfId="52" priority="123" operator="containsText" text="Extreme">
      <formula>NOT(ISERROR(SEARCH("Extreme",S22)))</formula>
    </cfRule>
    <cfRule type="containsText" dxfId="51" priority="118" operator="containsText" text="Med-High">
      <formula>NOT(ISERROR(SEARCH("Med-High",S22)))</formula>
    </cfRule>
    <cfRule type="containsText" dxfId="50" priority="117" operator="containsText" text="Medium">
      <formula>NOT(ISERROR(SEARCH("Medium",S22)))</formula>
    </cfRule>
    <cfRule type="containsText" dxfId="49" priority="119" operator="containsText" text="Extreme">
      <formula>NOT(ISERROR(SEARCH("Extreme",S22)))</formula>
    </cfRule>
    <cfRule type="containsText" dxfId="48" priority="120" operator="containsText" text="Low">
      <formula>NOT(ISERROR(SEARCH("Low",S22)))</formula>
    </cfRule>
    <cfRule type="containsText" dxfId="47" priority="121" operator="containsText" text="Medium">
      <formula>NOT(ISERROR(SEARCH("Medium",S22)))</formula>
    </cfRule>
    <cfRule type="containsText" dxfId="46" priority="122" operator="containsText" text="High">
      <formula>NOT(ISERROR(SEARCH("High",S22)))</formula>
    </cfRule>
  </conditionalFormatting>
  <conditionalFormatting sqref="S24:S27 O24:O28">
    <cfRule type="containsText" dxfId="45" priority="97" operator="containsText" text="Medium">
      <formula>NOT(ISERROR(SEARCH("Medium",O24)))</formula>
    </cfRule>
    <cfRule type="containsText" dxfId="44" priority="96" operator="containsText" text="Low">
      <formula>NOT(ISERROR(SEARCH("Low",O24)))</formula>
    </cfRule>
  </conditionalFormatting>
  <conditionalFormatting sqref="S25">
    <cfRule type="containsText" dxfId="43" priority="82" operator="containsText" text="High">
      <formula>NOT(ISERROR(SEARCH("High",S25)))</formula>
    </cfRule>
    <cfRule type="containsText" dxfId="42" priority="83" operator="containsText" text="Extreme">
      <formula>NOT(ISERROR(SEARCH("Extreme",S25)))</formula>
    </cfRule>
    <cfRule type="containsText" dxfId="41" priority="81" operator="containsText" text="Medium">
      <formula>NOT(ISERROR(SEARCH("Medium",S25)))</formula>
    </cfRule>
    <cfRule type="containsText" dxfId="40" priority="80" operator="containsText" text="Low">
      <formula>NOT(ISERROR(SEARCH("Low",S25)))</formula>
    </cfRule>
    <cfRule type="containsText" dxfId="39" priority="79" operator="containsText" text="Extreme">
      <formula>NOT(ISERROR(SEARCH("Extreme",S25)))</formula>
    </cfRule>
    <cfRule type="containsText" dxfId="38" priority="78" operator="containsText" text="Med-High">
      <formula>NOT(ISERROR(SEARCH("Med-High",S25)))</formula>
    </cfRule>
  </conditionalFormatting>
  <conditionalFormatting sqref="S25:S27 O25:O28">
    <cfRule type="containsText" dxfId="37" priority="98" operator="containsText" text="High">
      <formula>NOT(ISERROR(SEARCH("High",O25)))</formula>
    </cfRule>
    <cfRule type="containsText" dxfId="36" priority="99" operator="containsText" text="Extreme">
      <formula>NOT(ISERROR(SEARCH("Extreme",O25)))</formula>
    </cfRule>
  </conditionalFormatting>
  <conditionalFormatting sqref="S25:S28">
    <cfRule type="containsText" dxfId="35" priority="71" operator="containsText" text="Medium">
      <formula>NOT(ISERROR(SEARCH("Medium",S25)))</formula>
    </cfRule>
    <cfRule type="containsText" dxfId="34" priority="70" operator="containsText" text="Low">
      <formula>NOT(ISERROR(SEARCH("Low",S25)))</formula>
    </cfRule>
  </conditionalFormatting>
  <conditionalFormatting sqref="S26:S28 O26:O28">
    <cfRule type="containsText" dxfId="33" priority="69" operator="containsText" text="Med-High">
      <formula>NOT(ISERROR(SEARCH("Med-High",O26)))</formula>
    </cfRule>
  </conditionalFormatting>
  <conditionalFormatting sqref="S26:S28">
    <cfRule type="containsText" dxfId="32" priority="72" operator="containsText" text="Extreme">
      <formula>NOT(ISERROR(SEARCH("Extreme",S26)))</formula>
    </cfRule>
  </conditionalFormatting>
  <conditionalFormatting sqref="S28">
    <cfRule type="containsText" dxfId="31" priority="67" operator="containsText" text="Extreme">
      <formula>NOT(ISERROR(SEARCH("Extreme",S28)))</formula>
    </cfRule>
    <cfRule type="containsText" dxfId="30" priority="62" operator="containsText" text="Med-High">
      <formula>NOT(ISERROR(SEARCH("Med-High",S28)))</formula>
    </cfRule>
    <cfRule type="containsText" dxfId="29" priority="68" operator="containsText" text="High">
      <formula>NOT(ISERROR(SEARCH("High",S28)))</formula>
    </cfRule>
    <cfRule type="containsText" dxfId="28" priority="63" operator="containsText" text="Extreme">
      <formula>NOT(ISERROR(SEARCH("Extreme",S28)))</formula>
    </cfRule>
    <cfRule type="containsText" dxfId="27" priority="64" operator="containsText" text="Low">
      <formula>NOT(ISERROR(SEARCH("Low",S28)))</formula>
    </cfRule>
    <cfRule type="containsText" dxfId="26" priority="65" operator="containsText" text="Medium">
      <formula>NOT(ISERROR(SEARCH("Medium",S28)))</formula>
    </cfRule>
    <cfRule type="containsText" dxfId="25" priority="66" operator="containsText" text="High">
      <formula>NOT(ISERROR(SEARCH("High",S28)))</formula>
    </cfRule>
  </conditionalFormatting>
  <conditionalFormatting sqref="S28:S29 O29">
    <cfRule type="containsText" dxfId="24" priority="53" operator="containsText" text="Low">
      <formula>NOT(ISERROR(SEARCH("Low",O28)))</formula>
    </cfRule>
    <cfRule type="containsText" dxfId="23" priority="54" operator="containsText" text="Medium">
      <formula>NOT(ISERROR(SEARCH("Medium",O28)))</formula>
    </cfRule>
  </conditionalFormatting>
  <conditionalFormatting sqref="S29:S30">
    <cfRule type="containsText" dxfId="22" priority="40" operator="containsText" text="Medium">
      <formula>NOT(ISERROR(SEARCH("Medium",S29)))</formula>
    </cfRule>
    <cfRule type="containsText" dxfId="21" priority="39" operator="containsText" text="Low">
      <formula>NOT(ISERROR(SEARCH("Low",S29)))</formula>
    </cfRule>
  </conditionalFormatting>
  <conditionalFormatting sqref="S30">
    <cfRule type="containsText" dxfId="20" priority="35" operator="containsText" text="Extreme">
      <formula>NOT(ISERROR(SEARCH("Extreme",S30)))</formula>
    </cfRule>
    <cfRule type="containsText" dxfId="19" priority="42" operator="containsText" text="Extreme">
      <formula>NOT(ISERROR(SEARCH("Extreme",S30)))</formula>
    </cfRule>
    <cfRule type="containsText" dxfId="18" priority="41" operator="containsText" text="High">
      <formula>NOT(ISERROR(SEARCH("High",S30)))</formula>
    </cfRule>
    <cfRule type="containsText" dxfId="17" priority="34" operator="containsText" text="Medium">
      <formula>NOT(ISERROR(SEARCH("Medium",S30)))</formula>
    </cfRule>
  </conditionalFormatting>
  <conditionalFormatting sqref="S30:S31 O30:O31">
    <cfRule type="containsText" dxfId="16" priority="31" operator="containsText" text="Low">
      <formula>NOT(ISERROR(SEARCH("Low",O30)))</formula>
    </cfRule>
  </conditionalFormatting>
  <conditionalFormatting sqref="S31">
    <cfRule type="containsText" dxfId="15" priority="30" operator="containsText" text="Medium">
      <formula>NOT(ISERROR(SEARCH("Medium",S31)))</formula>
    </cfRule>
    <cfRule type="containsText" dxfId="14" priority="29" operator="containsText" text="Low">
      <formula>NOT(ISERROR(SEARCH("Low",S31)))</formula>
    </cfRule>
    <cfRule type="containsText" dxfId="13" priority="25" operator="containsText" text="High">
      <formula>NOT(ISERROR(SEARCH("High",S31)))</formula>
    </cfRule>
    <cfRule type="containsText" dxfId="12" priority="24" operator="containsText" text="Extreme">
      <formula>NOT(ISERROR(SEARCH("Extreme",S31)))</formula>
    </cfRule>
    <cfRule type="containsText" dxfId="11" priority="23" operator="containsText" text="Medium">
      <formula>NOT(ISERROR(SEARCH("Medium",S31)))</formula>
    </cfRule>
  </conditionalFormatting>
  <conditionalFormatting sqref="S31:S32 O31:O32">
    <cfRule type="containsText" dxfId="10" priority="17" operator="containsText" text="Extreme">
      <formula>NOT(ISERROR(SEARCH("Extreme",O31)))</formula>
    </cfRule>
  </conditionalFormatting>
  <conditionalFormatting sqref="S32">
    <cfRule type="containsText" dxfId="9" priority="16" operator="containsText" text="High">
      <formula>NOT(ISERROR(SEARCH("High",S32)))</formula>
    </cfRule>
  </conditionalFormatting>
  <conditionalFormatting sqref="S33 O33">
    <cfRule type="containsText" dxfId="8" priority="8" operator="containsText" text="Extreme">
      <formula>NOT(ISERROR(SEARCH("Extreme",O33)))</formula>
    </cfRule>
  </conditionalFormatting>
  <conditionalFormatting sqref="S33">
    <cfRule type="containsText" dxfId="7" priority="7" operator="containsText" text="High">
      <formula>NOT(ISERROR(SEARCH("High",S33)))</formula>
    </cfRule>
  </conditionalFormatting>
  <dataValidations count="1">
    <dataValidation type="list" allowBlank="1" showInputMessage="1" showErrorMessage="1" sqref="O3:O33 S3:S33">
      <formula1>"Low,Medium,Med-High,High"</formula1>
    </dataValidation>
  </dataValidations>
  <pageMargins left="0.23622047244094491" right="0.23622047244094491" top="0.98425196850393704" bottom="0.98425196850393704" header="0.51181102362204722" footer="0.51181102362204722"/>
  <pageSetup paperSize="8" scale="50" fitToHeight="0" orientation="landscape" r:id="rId1"/>
  <headerFooter alignWithMargins="0">
    <oddHeader>&amp;L&amp;"Calibri"&amp;10&amp;K000000 Uniphar Classification: Confidential&amp;1#_x000D_</oddHeader>
    <oddFooter>&amp;L_x000D_&amp;1#&amp;"Calibri"&amp;10&amp;K000000 Uniphar Classification: Confidential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'Look ups'!$A$3:$A$6</xm:f>
          </x14:formula1>
          <xm:sqref>T3:T33</xm:sqref>
        </x14:dataValidation>
        <x14:dataValidation type="list" allowBlank="1" showInputMessage="1" showErrorMessage="1">
          <x14:formula1>
            <xm:f>'Rating Tables'!$C$27:$C$48</xm:f>
          </x14:formula1>
          <xm:sqref>C3:C33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M48"/>
  <sheetViews>
    <sheetView workbookViewId="0">
      <selection activeCell="H8" sqref="H8"/>
    </sheetView>
  </sheetViews>
  <sheetFormatPr defaultRowHeight="13.2" x14ac:dyDescent="0.25"/>
  <cols>
    <col min="1" max="1" width="2.5546875" customWidth="1"/>
    <col min="2" max="2" width="4.5546875" customWidth="1"/>
    <col min="3" max="3" width="14.77734375" customWidth="1"/>
    <col min="4" max="4" width="13" customWidth="1"/>
    <col min="5" max="9" width="12.5546875" customWidth="1"/>
    <col min="10" max="21" width="4.5546875" customWidth="1"/>
  </cols>
  <sheetData>
    <row r="2" spans="2:13" ht="15.6" x14ac:dyDescent="0.3">
      <c r="C2" s="25"/>
      <c r="L2" s="160"/>
      <c r="M2" s="160"/>
    </row>
    <row r="4" spans="2:13" x14ac:dyDescent="0.25">
      <c r="C4" s="7" t="s">
        <v>61</v>
      </c>
    </row>
    <row r="5" spans="2:13" ht="20.100000000000001" customHeight="1" thickBot="1" x14ac:dyDescent="0.3">
      <c r="E5" s="161" t="s">
        <v>62</v>
      </c>
      <c r="F5" s="161"/>
      <c r="G5" s="161"/>
      <c r="H5" s="161"/>
      <c r="I5" s="161"/>
    </row>
    <row r="6" spans="2:13" ht="30" customHeight="1" thickBot="1" x14ac:dyDescent="0.3">
      <c r="E6" s="23" t="s">
        <v>63</v>
      </c>
      <c r="F6" s="24" t="s">
        <v>64</v>
      </c>
      <c r="G6" s="23" t="s">
        <v>65</v>
      </c>
      <c r="H6" s="24" t="s">
        <v>66</v>
      </c>
      <c r="I6" s="23" t="s">
        <v>67</v>
      </c>
    </row>
    <row r="7" spans="2:13" ht="30" customHeight="1" thickBot="1" x14ac:dyDescent="0.3">
      <c r="D7" s="22" t="s">
        <v>68</v>
      </c>
      <c r="E7" s="21">
        <v>1</v>
      </c>
      <c r="F7" s="46">
        <v>2</v>
      </c>
      <c r="G7" s="21">
        <v>3</v>
      </c>
      <c r="H7" s="46">
        <v>4</v>
      </c>
      <c r="I7" s="21">
        <v>5</v>
      </c>
    </row>
    <row r="8" spans="2:13" ht="30" customHeight="1" thickBot="1" x14ac:dyDescent="0.3">
      <c r="B8" s="159" t="s">
        <v>69</v>
      </c>
      <c r="C8" s="20" t="s">
        <v>70</v>
      </c>
      <c r="D8" s="19">
        <v>5</v>
      </c>
      <c r="E8" s="15" t="s">
        <v>58</v>
      </c>
      <c r="F8" s="13" t="s">
        <v>55</v>
      </c>
      <c r="G8" s="51" t="s">
        <v>57</v>
      </c>
      <c r="H8" s="18" t="s">
        <v>56</v>
      </c>
      <c r="I8" s="18" t="s">
        <v>56</v>
      </c>
    </row>
    <row r="9" spans="2:13" ht="30" customHeight="1" thickBot="1" x14ac:dyDescent="0.3">
      <c r="B9" s="159"/>
      <c r="C9" s="17" t="s">
        <v>71</v>
      </c>
      <c r="D9" s="16">
        <v>4</v>
      </c>
      <c r="E9" s="15" t="s">
        <v>58</v>
      </c>
      <c r="F9" s="13" t="s">
        <v>55</v>
      </c>
      <c r="G9" s="13" t="s">
        <v>55</v>
      </c>
      <c r="H9" s="51" t="s">
        <v>57</v>
      </c>
      <c r="I9" s="18" t="s">
        <v>56</v>
      </c>
    </row>
    <row r="10" spans="2:13" ht="30" customHeight="1" x14ac:dyDescent="0.25">
      <c r="B10" s="159"/>
      <c r="C10" s="17" t="s">
        <v>72</v>
      </c>
      <c r="D10" s="16">
        <v>3</v>
      </c>
      <c r="E10" s="15" t="s">
        <v>58</v>
      </c>
      <c r="F10" s="15" t="s">
        <v>58</v>
      </c>
      <c r="G10" s="13" t="s">
        <v>55</v>
      </c>
      <c r="H10" s="13" t="s">
        <v>55</v>
      </c>
      <c r="I10" s="51" t="s">
        <v>57</v>
      </c>
    </row>
    <row r="11" spans="2:13" ht="30" customHeight="1" x14ac:dyDescent="0.25">
      <c r="B11" s="159"/>
      <c r="C11" s="17" t="s">
        <v>73</v>
      </c>
      <c r="D11" s="16">
        <v>2</v>
      </c>
      <c r="E11" s="15" t="s">
        <v>58</v>
      </c>
      <c r="F11" s="14" t="s">
        <v>58</v>
      </c>
      <c r="G11" s="15" t="s">
        <v>58</v>
      </c>
      <c r="H11" s="13" t="s">
        <v>55</v>
      </c>
      <c r="I11" s="13" t="s">
        <v>55</v>
      </c>
    </row>
    <row r="12" spans="2:13" ht="30" customHeight="1" thickBot="1" x14ac:dyDescent="0.3">
      <c r="B12" s="159"/>
      <c r="C12" s="12" t="s">
        <v>74</v>
      </c>
      <c r="D12" s="11">
        <v>1</v>
      </c>
      <c r="E12" s="10" t="s">
        <v>58</v>
      </c>
      <c r="F12" s="9" t="s">
        <v>58</v>
      </c>
      <c r="G12" s="9" t="s">
        <v>58</v>
      </c>
      <c r="H12" s="15" t="s">
        <v>58</v>
      </c>
      <c r="I12" s="15" t="s">
        <v>58</v>
      </c>
    </row>
    <row r="13" spans="2:13" ht="30" customHeight="1" x14ac:dyDescent="0.25">
      <c r="D13" s="8" t="s">
        <v>75</v>
      </c>
      <c r="E13" s="161" t="s">
        <v>76</v>
      </c>
      <c r="F13" s="160"/>
      <c r="G13" s="160"/>
      <c r="H13" s="160"/>
      <c r="I13" s="160"/>
    </row>
    <row r="14" spans="2:13" ht="30" customHeight="1" x14ac:dyDescent="0.25"/>
    <row r="15" spans="2:13" ht="30" customHeight="1" x14ac:dyDescent="0.25"/>
    <row r="19" spans="3:7" ht="18.75" customHeight="1" x14ac:dyDescent="0.25">
      <c r="C19" s="7"/>
    </row>
    <row r="26" spans="3:7" ht="39.6" x14ac:dyDescent="0.25">
      <c r="C26" s="7" t="s">
        <v>77</v>
      </c>
      <c r="D26" s="73" t="s">
        <v>14</v>
      </c>
      <c r="F26" s="7" t="s">
        <v>78</v>
      </c>
      <c r="G26" s="33" t="s">
        <v>79</v>
      </c>
    </row>
    <row r="27" spans="3:7" ht="27.6" x14ac:dyDescent="0.3">
      <c r="C27" s="33" t="s">
        <v>80</v>
      </c>
      <c r="D27" t="s">
        <v>81</v>
      </c>
      <c r="F27" s="75" t="s">
        <v>82</v>
      </c>
      <c r="G27" s="33" t="s">
        <v>50</v>
      </c>
    </row>
    <row r="28" spans="3:7" ht="41.4" x14ac:dyDescent="0.3">
      <c r="C28" t="s">
        <v>45</v>
      </c>
      <c r="D28" t="s">
        <v>83</v>
      </c>
      <c r="F28" s="76" t="s">
        <v>49</v>
      </c>
      <c r="G28" s="33" t="s">
        <v>41</v>
      </c>
    </row>
    <row r="29" spans="3:7" ht="27.6" x14ac:dyDescent="0.3">
      <c r="C29" t="s">
        <v>47</v>
      </c>
      <c r="D29" t="s">
        <v>84</v>
      </c>
      <c r="F29" s="77" t="s">
        <v>85</v>
      </c>
      <c r="G29" s="33" t="s">
        <v>86</v>
      </c>
    </row>
    <row r="30" spans="3:7" ht="27.6" x14ac:dyDescent="0.3">
      <c r="C30" s="33" t="s">
        <v>87</v>
      </c>
      <c r="F30" s="78" t="s">
        <v>44</v>
      </c>
      <c r="G30" s="33" t="s">
        <v>88</v>
      </c>
    </row>
    <row r="31" spans="3:7" ht="41.4" x14ac:dyDescent="0.3">
      <c r="C31" t="s">
        <v>60</v>
      </c>
      <c r="F31" s="79" t="s">
        <v>89</v>
      </c>
      <c r="G31" s="33" t="s">
        <v>59</v>
      </c>
    </row>
    <row r="32" spans="3:7" x14ac:dyDescent="0.25">
      <c r="C32" s="33" t="s">
        <v>90</v>
      </c>
      <c r="F32" s="42" t="s">
        <v>91</v>
      </c>
    </row>
    <row r="33" spans="3:3" x14ac:dyDescent="0.25">
      <c r="C33" t="s">
        <v>48</v>
      </c>
    </row>
    <row r="34" spans="3:3" x14ac:dyDescent="0.25">
      <c r="C34" t="s">
        <v>52</v>
      </c>
    </row>
    <row r="35" spans="3:3" x14ac:dyDescent="0.25">
      <c r="C35" s="33" t="s">
        <v>33</v>
      </c>
    </row>
    <row r="36" spans="3:3" x14ac:dyDescent="0.25">
      <c r="C36" s="33" t="s">
        <v>28</v>
      </c>
    </row>
    <row r="37" spans="3:3" x14ac:dyDescent="0.25">
      <c r="C37" s="33" t="s">
        <v>46</v>
      </c>
    </row>
    <row r="38" spans="3:3" x14ac:dyDescent="0.25">
      <c r="C38" s="33" t="s">
        <v>92</v>
      </c>
    </row>
    <row r="39" spans="3:3" x14ac:dyDescent="0.25">
      <c r="C39" t="s">
        <v>93</v>
      </c>
    </row>
    <row r="40" spans="3:3" x14ac:dyDescent="0.25">
      <c r="C40" t="s">
        <v>40</v>
      </c>
    </row>
    <row r="41" spans="3:3" x14ac:dyDescent="0.25">
      <c r="C41" t="s">
        <v>94</v>
      </c>
    </row>
    <row r="42" spans="3:3" x14ac:dyDescent="0.25">
      <c r="C42" s="33" t="s">
        <v>95</v>
      </c>
    </row>
    <row r="43" spans="3:3" x14ac:dyDescent="0.25">
      <c r="C43" t="s">
        <v>51</v>
      </c>
    </row>
    <row r="44" spans="3:3" x14ac:dyDescent="0.25">
      <c r="C44" s="33" t="s">
        <v>96</v>
      </c>
    </row>
    <row r="45" spans="3:3" x14ac:dyDescent="0.25">
      <c r="C45" t="s">
        <v>42</v>
      </c>
    </row>
    <row r="46" spans="3:3" x14ac:dyDescent="0.25">
      <c r="C46" t="s">
        <v>97</v>
      </c>
    </row>
    <row r="47" spans="3:3" x14ac:dyDescent="0.25">
      <c r="C47" t="s">
        <v>98</v>
      </c>
    </row>
    <row r="48" spans="3:3" x14ac:dyDescent="0.25">
      <c r="C48" t="s">
        <v>39</v>
      </c>
    </row>
  </sheetData>
  <sortState ref="C27:C49">
    <sortCondition ref="C27:C49"/>
  </sortState>
  <mergeCells count="4">
    <mergeCell ref="B8:B12"/>
    <mergeCell ref="L2:M2"/>
    <mergeCell ref="E13:I13"/>
    <mergeCell ref="E5:I5"/>
  </mergeCells>
  <pageMargins left="0.75" right="0.75" top="1" bottom="1" header="0.5" footer="0.5"/>
  <pageSetup paperSize="9" scale="50" orientation="landscape" r:id="rId1"/>
  <headerFooter alignWithMargins="0">
    <oddHeader>&amp;L&amp;"Calibri"&amp;10&amp;K000000 Uniphar Classification: Confidential&amp;1#_x000D_&amp;C&amp;A&amp;RPage &amp;P of &amp;N</oddHeader>
    <oddFooter>&amp;L&amp;Z&amp;F_x000D_&amp;1#&amp;"Calibri"&amp;10&amp;K000000 Uniphar Classification: Confidential&amp;RPrinted &amp;D &amp;T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opLeftCell="A10" workbookViewId="0">
      <selection activeCell="A4" sqref="A4:A8"/>
    </sheetView>
  </sheetViews>
  <sheetFormatPr defaultColWidth="9" defaultRowHeight="13.2" x14ac:dyDescent="0.25"/>
  <cols>
    <col min="1" max="1" width="16.5546875" style="27" customWidth="1"/>
    <col min="2" max="2" width="24.21875" style="27" customWidth="1"/>
    <col min="3" max="3" width="30.44140625" style="27" customWidth="1"/>
    <col min="4" max="4" width="38.77734375" style="27" customWidth="1"/>
    <col min="5" max="6" width="27" style="27" customWidth="1"/>
    <col min="7" max="7" width="25.77734375" style="27" customWidth="1"/>
    <col min="8" max="16384" width="9" style="27"/>
  </cols>
  <sheetData>
    <row r="1" spans="1:7" ht="16.8" x14ac:dyDescent="0.45">
      <c r="A1" s="28" t="s">
        <v>99</v>
      </c>
    </row>
    <row r="3" spans="1:7" ht="17.25" customHeight="1" x14ac:dyDescent="0.45">
      <c r="A3" s="29" t="s">
        <v>100</v>
      </c>
      <c r="B3" s="29" t="s">
        <v>101</v>
      </c>
      <c r="C3" s="64" t="s">
        <v>102</v>
      </c>
      <c r="D3" s="168" t="s">
        <v>103</v>
      </c>
      <c r="E3" s="169"/>
      <c r="F3" s="170"/>
      <c r="G3"/>
    </row>
    <row r="4" spans="1:7" ht="34.5" customHeight="1" x14ac:dyDescent="0.25">
      <c r="A4" s="58">
        <v>5</v>
      </c>
      <c r="B4" s="58" t="s">
        <v>70</v>
      </c>
      <c r="C4" s="49" t="s">
        <v>104</v>
      </c>
      <c r="D4" s="165" t="s">
        <v>105</v>
      </c>
      <c r="E4" s="166"/>
      <c r="F4" s="167"/>
      <c r="G4" s="52"/>
    </row>
    <row r="5" spans="1:7" ht="39" customHeight="1" x14ac:dyDescent="0.25">
      <c r="A5" s="58">
        <v>4</v>
      </c>
      <c r="B5" s="58" t="s">
        <v>71</v>
      </c>
      <c r="C5" s="49" t="s">
        <v>106</v>
      </c>
      <c r="D5" s="165" t="s">
        <v>107</v>
      </c>
      <c r="E5" s="166"/>
      <c r="F5" s="167"/>
      <c r="G5" s="52"/>
    </row>
    <row r="6" spans="1:7" ht="34.5" customHeight="1" x14ac:dyDescent="0.25">
      <c r="A6" s="59">
        <v>3</v>
      </c>
      <c r="B6" s="59" t="s">
        <v>72</v>
      </c>
      <c r="C6" s="50" t="s">
        <v>108</v>
      </c>
      <c r="D6" s="162" t="s">
        <v>109</v>
      </c>
      <c r="E6" s="163"/>
      <c r="F6" s="164"/>
      <c r="G6" s="53"/>
    </row>
    <row r="7" spans="1:7" ht="34.5" customHeight="1" x14ac:dyDescent="0.25">
      <c r="A7" s="59">
        <v>2</v>
      </c>
      <c r="B7" s="59" t="s">
        <v>73</v>
      </c>
      <c r="C7" s="50" t="s">
        <v>110</v>
      </c>
      <c r="D7" s="162" t="s">
        <v>111</v>
      </c>
      <c r="E7" s="163"/>
      <c r="F7" s="164"/>
      <c r="G7" s="53"/>
    </row>
    <row r="8" spans="1:7" ht="34.5" customHeight="1" x14ac:dyDescent="0.25">
      <c r="A8" s="59">
        <v>1</v>
      </c>
      <c r="B8" s="59" t="s">
        <v>74</v>
      </c>
      <c r="C8" s="50" t="s">
        <v>112</v>
      </c>
      <c r="D8" s="162" t="s">
        <v>113</v>
      </c>
      <c r="E8" s="163"/>
      <c r="F8" s="164"/>
      <c r="G8" s="53"/>
    </row>
    <row r="10" spans="1:7" ht="13.8" x14ac:dyDescent="0.3">
      <c r="A10" s="54" t="s">
        <v>114</v>
      </c>
      <c r="B10" s="55"/>
      <c r="C10" s="55"/>
      <c r="D10" s="55"/>
      <c r="E10" s="55"/>
      <c r="F10" s="55"/>
      <c r="G10" s="55"/>
    </row>
    <row r="11" spans="1:7" ht="13.8" x14ac:dyDescent="0.25">
      <c r="A11" s="56" t="s">
        <v>115</v>
      </c>
      <c r="B11" s="57" t="s">
        <v>116</v>
      </c>
      <c r="C11" s="57" t="s">
        <v>117</v>
      </c>
      <c r="D11" s="57" t="s">
        <v>118</v>
      </c>
      <c r="E11" s="56" t="s">
        <v>43</v>
      </c>
      <c r="F11" s="57" t="s">
        <v>119</v>
      </c>
      <c r="G11" s="57" t="s">
        <v>120</v>
      </c>
    </row>
    <row r="12" spans="1:7" ht="124.2" x14ac:dyDescent="0.25">
      <c r="A12" s="58">
        <v>5</v>
      </c>
      <c r="B12" s="62" t="s">
        <v>121</v>
      </c>
      <c r="C12" s="62" t="s">
        <v>122</v>
      </c>
      <c r="D12" s="62" t="s">
        <v>123</v>
      </c>
      <c r="E12" s="60" t="s">
        <v>124</v>
      </c>
      <c r="F12" s="60" t="s">
        <v>125</v>
      </c>
      <c r="G12" s="60" t="s">
        <v>126</v>
      </c>
    </row>
    <row r="13" spans="1:7" ht="124.2" x14ac:dyDescent="0.25">
      <c r="A13" s="58">
        <v>4</v>
      </c>
      <c r="B13" s="62" t="s">
        <v>127</v>
      </c>
      <c r="C13" s="62" t="s">
        <v>128</v>
      </c>
      <c r="D13" s="62" t="s">
        <v>129</v>
      </c>
      <c r="E13" s="60" t="s">
        <v>130</v>
      </c>
      <c r="F13" s="60" t="s">
        <v>131</v>
      </c>
      <c r="G13" s="60" t="s">
        <v>126</v>
      </c>
    </row>
    <row r="14" spans="1:7" ht="124.2" x14ac:dyDescent="0.25">
      <c r="A14" s="58">
        <v>3</v>
      </c>
      <c r="B14" s="62" t="s">
        <v>132</v>
      </c>
      <c r="C14" s="62" t="s">
        <v>133</v>
      </c>
      <c r="D14" s="62" t="s">
        <v>134</v>
      </c>
      <c r="E14" s="60" t="s">
        <v>135</v>
      </c>
      <c r="F14" s="60" t="s">
        <v>136</v>
      </c>
      <c r="G14" s="60" t="s">
        <v>126</v>
      </c>
    </row>
    <row r="15" spans="1:7" ht="82.8" x14ac:dyDescent="0.25">
      <c r="A15" s="59">
        <v>2</v>
      </c>
      <c r="B15" s="63" t="s">
        <v>137</v>
      </c>
      <c r="C15" s="63" t="s">
        <v>138</v>
      </c>
      <c r="D15" s="63" t="s">
        <v>139</v>
      </c>
      <c r="E15" s="61" t="s">
        <v>140</v>
      </c>
      <c r="F15" s="61" t="s">
        <v>141</v>
      </c>
      <c r="G15" s="61" t="s">
        <v>126</v>
      </c>
    </row>
    <row r="16" spans="1:7" ht="55.5" customHeight="1" x14ac:dyDescent="0.25">
      <c r="A16" s="58">
        <v>1</v>
      </c>
      <c r="B16" s="62" t="s">
        <v>142</v>
      </c>
      <c r="C16" s="62" t="s">
        <v>143</v>
      </c>
      <c r="D16" s="62" t="s">
        <v>144</v>
      </c>
      <c r="E16" s="60" t="s">
        <v>145</v>
      </c>
      <c r="F16" s="60" t="s">
        <v>146</v>
      </c>
      <c r="G16" s="60" t="s">
        <v>126</v>
      </c>
    </row>
  </sheetData>
  <mergeCells count="6">
    <mergeCell ref="D8:F8"/>
    <mergeCell ref="D4:F4"/>
    <mergeCell ref="D3:F3"/>
    <mergeCell ref="D5:F5"/>
    <mergeCell ref="D6:F6"/>
    <mergeCell ref="D7:F7"/>
  </mergeCells>
  <pageMargins left="0.74803149606299213" right="0.74803149606299213" top="0.98425196850393704" bottom="0.98425196850393704" header="0.51181102362204722" footer="0.51181102362204722"/>
  <pageSetup paperSize="9" scale="60" orientation="landscape" r:id="rId1"/>
  <headerFooter alignWithMargins="0">
    <oddHeader>&amp;L&amp;"Calibri"&amp;10&amp;K000000 Uniphar Classification: Confidential&amp;1#_x000D_</oddHeader>
    <oddFooter>&amp;L_x000D_&amp;1#&amp;"Calibri"&amp;10&amp;K000000 Uniphar Classification: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7"/>
  <sheetViews>
    <sheetView workbookViewId="0">
      <selection activeCell="S22" sqref="S22"/>
    </sheetView>
  </sheetViews>
  <sheetFormatPr defaultRowHeight="13.2" x14ac:dyDescent="0.25"/>
  <cols>
    <col min="1" max="1" width="10.21875" bestFit="1" customWidth="1"/>
    <col min="6" max="6" width="14.21875" bestFit="1" customWidth="1"/>
    <col min="7" max="7" width="4.33203125" bestFit="1" customWidth="1"/>
    <col min="8" max="8" width="7.5546875" bestFit="1" customWidth="1"/>
    <col min="9" max="9" width="9" bestFit="1" customWidth="1"/>
    <col min="10" max="10" width="4.77734375" bestFit="1" customWidth="1"/>
    <col min="11" max="11" width="11.109375" bestFit="1" customWidth="1"/>
    <col min="12" max="13" width="11.21875" bestFit="1" customWidth="1"/>
    <col min="14" max="14" width="10.109375" customWidth="1"/>
    <col min="15" max="15" width="9.77734375" bestFit="1" customWidth="1"/>
    <col min="16" max="16" width="9" bestFit="1" customWidth="1"/>
    <col min="17" max="17" width="7.5546875" bestFit="1" customWidth="1"/>
    <col min="18" max="18" width="4.44140625" bestFit="1" customWidth="1"/>
    <col min="19" max="19" width="4.77734375" bestFit="1" customWidth="1"/>
    <col min="20" max="20" width="4.44140625" bestFit="1" customWidth="1"/>
    <col min="21" max="21" width="13" bestFit="1" customWidth="1"/>
    <col min="22" max="22" width="14.77734375" bestFit="1" customWidth="1"/>
    <col min="23" max="23" width="4.77734375" bestFit="1" customWidth="1"/>
    <col min="24" max="24" width="7.5546875" bestFit="1" customWidth="1"/>
    <col min="25" max="25" width="4.44140625" bestFit="1" customWidth="1"/>
    <col min="26" max="26" width="10.77734375" bestFit="1" customWidth="1"/>
    <col min="27" max="27" width="8.44140625" bestFit="1" customWidth="1"/>
    <col min="28" max="28" width="4.77734375" bestFit="1" customWidth="1"/>
    <col min="29" max="29" width="7.5546875" bestFit="1" customWidth="1"/>
    <col min="30" max="30" width="4.44140625" bestFit="1" customWidth="1"/>
    <col min="31" max="31" width="11.77734375" bestFit="1" customWidth="1"/>
    <col min="32" max="32" width="8.44140625" bestFit="1" customWidth="1"/>
    <col min="33" max="33" width="4.77734375" bestFit="1" customWidth="1"/>
    <col min="34" max="34" width="7.5546875" bestFit="1" customWidth="1"/>
    <col min="35" max="35" width="4.44140625" bestFit="1" customWidth="1"/>
    <col min="36" max="36" width="11.5546875" bestFit="1" customWidth="1"/>
    <col min="37" max="37" width="11.21875" bestFit="1" customWidth="1"/>
  </cols>
  <sheetData>
    <row r="1" spans="1:22" x14ac:dyDescent="0.25">
      <c r="A1" t="s">
        <v>147</v>
      </c>
      <c r="B1" t="s">
        <v>68</v>
      </c>
      <c r="C1" t="s">
        <v>148</v>
      </c>
      <c r="D1" s="33" t="s">
        <v>149</v>
      </c>
      <c r="N1" t="s">
        <v>150</v>
      </c>
      <c r="U1" t="s">
        <v>151</v>
      </c>
    </row>
    <row r="2" spans="1:22" x14ac:dyDescent="0.25">
      <c r="A2" s="48">
        <v>44774</v>
      </c>
      <c r="B2" s="3" t="s">
        <v>56</v>
      </c>
      <c r="C2">
        <v>7</v>
      </c>
      <c r="F2" s="41" t="s">
        <v>152</v>
      </c>
      <c r="N2" s="42"/>
      <c r="O2" s="42"/>
      <c r="P2" s="42"/>
      <c r="U2" s="41" t="s">
        <v>153</v>
      </c>
      <c r="V2" t="s">
        <v>154</v>
      </c>
    </row>
    <row r="3" spans="1:22" x14ac:dyDescent="0.25">
      <c r="A3" s="48">
        <v>44774</v>
      </c>
      <c r="B3" s="3" t="s">
        <v>57</v>
      </c>
      <c r="C3">
        <v>1</v>
      </c>
      <c r="G3" t="s">
        <v>58</v>
      </c>
      <c r="H3" t="s">
        <v>55</v>
      </c>
      <c r="I3" t="s">
        <v>57</v>
      </c>
      <c r="J3" t="s">
        <v>56</v>
      </c>
      <c r="K3" t="s">
        <v>155</v>
      </c>
      <c r="N3" s="86"/>
      <c r="O3" s="86"/>
      <c r="P3" s="86"/>
      <c r="U3" s="3" t="s">
        <v>56</v>
      </c>
      <c r="V3">
        <v>9</v>
      </c>
    </row>
    <row r="4" spans="1:22" x14ac:dyDescent="0.25">
      <c r="A4" s="48">
        <v>44774</v>
      </c>
      <c r="B4" s="3" t="s">
        <v>55</v>
      </c>
      <c r="C4">
        <v>21</v>
      </c>
      <c r="F4" s="85">
        <v>44774</v>
      </c>
      <c r="G4">
        <v>16</v>
      </c>
      <c r="H4">
        <v>21</v>
      </c>
      <c r="I4">
        <v>1</v>
      </c>
      <c r="J4">
        <v>7</v>
      </c>
      <c r="K4">
        <v>45</v>
      </c>
      <c r="N4" s="86"/>
      <c r="O4" s="86"/>
      <c r="P4" s="86"/>
      <c r="U4" s="3" t="s">
        <v>57</v>
      </c>
      <c r="V4">
        <v>11</v>
      </c>
    </row>
    <row r="5" spans="1:22" x14ac:dyDescent="0.25">
      <c r="A5" s="48">
        <v>44774</v>
      </c>
      <c r="B5" s="3" t="s">
        <v>58</v>
      </c>
      <c r="C5">
        <v>16</v>
      </c>
      <c r="F5" s="85">
        <v>44805</v>
      </c>
      <c r="G5">
        <v>17</v>
      </c>
      <c r="H5">
        <v>20</v>
      </c>
      <c r="I5">
        <v>3</v>
      </c>
      <c r="J5">
        <v>7</v>
      </c>
      <c r="K5">
        <v>47</v>
      </c>
      <c r="N5" s="86"/>
      <c r="O5" s="86"/>
      <c r="P5" s="86"/>
      <c r="U5" s="3" t="s">
        <v>55</v>
      </c>
      <c r="V5">
        <v>14</v>
      </c>
    </row>
    <row r="6" spans="1:22" x14ac:dyDescent="0.25">
      <c r="A6" s="48">
        <v>44805</v>
      </c>
      <c r="B6" s="3" t="s">
        <v>56</v>
      </c>
      <c r="C6">
        <v>7</v>
      </c>
      <c r="F6" s="85">
        <v>44835</v>
      </c>
      <c r="G6">
        <v>18</v>
      </c>
      <c r="H6">
        <v>19</v>
      </c>
      <c r="I6">
        <v>3</v>
      </c>
      <c r="J6">
        <v>7</v>
      </c>
      <c r="K6">
        <v>47</v>
      </c>
      <c r="N6" s="86"/>
      <c r="O6" s="86"/>
      <c r="P6" s="86"/>
      <c r="U6" s="3" t="s">
        <v>58</v>
      </c>
      <c r="V6">
        <v>15</v>
      </c>
    </row>
    <row r="7" spans="1:22" x14ac:dyDescent="0.25">
      <c r="A7" s="48">
        <v>44805</v>
      </c>
      <c r="B7" s="3" t="s">
        <v>57</v>
      </c>
      <c r="C7">
        <v>3</v>
      </c>
      <c r="F7" s="85">
        <v>44866</v>
      </c>
      <c r="G7">
        <v>17</v>
      </c>
      <c r="H7">
        <v>19</v>
      </c>
      <c r="I7">
        <v>7</v>
      </c>
      <c r="J7">
        <v>8</v>
      </c>
      <c r="K7">
        <v>51</v>
      </c>
      <c r="N7" s="86"/>
      <c r="O7" s="86"/>
      <c r="P7" s="86"/>
      <c r="U7" s="3" t="s">
        <v>155</v>
      </c>
      <c r="V7">
        <v>49</v>
      </c>
    </row>
    <row r="8" spans="1:22" x14ac:dyDescent="0.25">
      <c r="A8" s="48">
        <v>44805</v>
      </c>
      <c r="B8" s="3" t="s">
        <v>55</v>
      </c>
      <c r="C8">
        <v>20</v>
      </c>
      <c r="F8" s="85">
        <v>44903</v>
      </c>
      <c r="G8">
        <v>18</v>
      </c>
      <c r="H8">
        <v>16</v>
      </c>
      <c r="I8">
        <v>8</v>
      </c>
      <c r="J8">
        <v>7</v>
      </c>
      <c r="K8">
        <v>49</v>
      </c>
      <c r="N8" s="86"/>
      <c r="O8" s="86"/>
      <c r="P8" s="86"/>
    </row>
    <row r="9" spans="1:22" x14ac:dyDescent="0.25">
      <c r="A9" s="48">
        <v>44805</v>
      </c>
      <c r="B9" s="3" t="s">
        <v>58</v>
      </c>
      <c r="C9">
        <v>17</v>
      </c>
      <c r="F9" s="85">
        <v>44928</v>
      </c>
      <c r="G9">
        <v>18</v>
      </c>
      <c r="H9">
        <v>17</v>
      </c>
      <c r="I9">
        <v>8</v>
      </c>
      <c r="J9">
        <v>6</v>
      </c>
      <c r="K9">
        <v>49</v>
      </c>
      <c r="N9" s="86"/>
      <c r="O9" s="86"/>
      <c r="P9" s="86"/>
    </row>
    <row r="10" spans="1:22" x14ac:dyDescent="0.25">
      <c r="A10" s="48">
        <v>44835</v>
      </c>
      <c r="B10" s="3" t="s">
        <v>56</v>
      </c>
      <c r="C10">
        <v>7</v>
      </c>
      <c r="F10" s="85">
        <v>44958</v>
      </c>
      <c r="G10">
        <v>20</v>
      </c>
      <c r="H10">
        <v>15</v>
      </c>
      <c r="I10">
        <v>6</v>
      </c>
      <c r="J10">
        <v>6</v>
      </c>
      <c r="K10">
        <v>47</v>
      </c>
      <c r="N10" s="86"/>
      <c r="O10" s="86"/>
      <c r="P10" s="86"/>
    </row>
    <row r="11" spans="1:22" x14ac:dyDescent="0.25">
      <c r="A11" s="48">
        <v>44835</v>
      </c>
      <c r="B11" s="3" t="s">
        <v>57</v>
      </c>
      <c r="C11">
        <v>3</v>
      </c>
      <c r="F11" s="85">
        <v>45028</v>
      </c>
      <c r="G11">
        <v>19</v>
      </c>
      <c r="H11">
        <v>15</v>
      </c>
      <c r="I11">
        <v>4</v>
      </c>
      <c r="J11">
        <v>7</v>
      </c>
      <c r="K11">
        <v>45</v>
      </c>
      <c r="N11" s="86"/>
      <c r="O11" s="86"/>
      <c r="P11" s="86"/>
    </row>
    <row r="12" spans="1:22" x14ac:dyDescent="0.25">
      <c r="A12" s="48">
        <v>44835</v>
      </c>
      <c r="B12" s="3" t="s">
        <v>55</v>
      </c>
      <c r="C12">
        <v>19</v>
      </c>
      <c r="F12" s="85">
        <v>45047</v>
      </c>
      <c r="G12">
        <v>18</v>
      </c>
      <c r="H12">
        <v>12</v>
      </c>
      <c r="I12">
        <v>4</v>
      </c>
      <c r="J12">
        <v>7</v>
      </c>
      <c r="K12">
        <v>41</v>
      </c>
      <c r="N12" s="86"/>
      <c r="O12" s="86"/>
      <c r="P12" s="86"/>
    </row>
    <row r="13" spans="1:22" x14ac:dyDescent="0.25">
      <c r="A13" s="48">
        <v>44835</v>
      </c>
      <c r="B13" s="3" t="s">
        <v>58</v>
      </c>
      <c r="C13">
        <v>18</v>
      </c>
      <c r="F13" s="85">
        <v>45078</v>
      </c>
      <c r="G13">
        <v>18</v>
      </c>
      <c r="H13">
        <v>12</v>
      </c>
      <c r="I13">
        <v>4</v>
      </c>
      <c r="J13">
        <v>7</v>
      </c>
      <c r="K13">
        <v>41</v>
      </c>
      <c r="N13" s="86"/>
      <c r="O13" s="86"/>
      <c r="P13" s="86"/>
    </row>
    <row r="14" spans="1:22" x14ac:dyDescent="0.25">
      <c r="A14" s="48">
        <v>44866</v>
      </c>
      <c r="B14" s="3" t="s">
        <v>56</v>
      </c>
      <c r="C14">
        <v>8</v>
      </c>
      <c r="F14" s="85">
        <v>45108</v>
      </c>
      <c r="G14">
        <v>18</v>
      </c>
      <c r="H14">
        <v>12</v>
      </c>
      <c r="I14">
        <v>4</v>
      </c>
      <c r="J14">
        <v>7</v>
      </c>
      <c r="K14">
        <v>41</v>
      </c>
      <c r="N14" s="86"/>
      <c r="O14" s="86"/>
      <c r="P14" s="86"/>
    </row>
    <row r="15" spans="1:22" x14ac:dyDescent="0.25">
      <c r="A15" s="48">
        <v>44866</v>
      </c>
      <c r="B15" s="3" t="s">
        <v>57</v>
      </c>
      <c r="C15">
        <v>7</v>
      </c>
      <c r="F15" s="85">
        <v>45139</v>
      </c>
      <c r="G15">
        <v>17</v>
      </c>
      <c r="H15">
        <v>14</v>
      </c>
      <c r="I15">
        <v>5</v>
      </c>
      <c r="J15">
        <v>7</v>
      </c>
      <c r="K15">
        <v>43</v>
      </c>
      <c r="N15" s="86"/>
      <c r="O15" s="86"/>
      <c r="P15" s="86"/>
    </row>
    <row r="16" spans="1:22" x14ac:dyDescent="0.25">
      <c r="A16" s="48">
        <v>44866</v>
      </c>
      <c r="B16" s="3" t="s">
        <v>55</v>
      </c>
      <c r="C16">
        <v>19</v>
      </c>
      <c r="F16" s="85">
        <v>45170</v>
      </c>
      <c r="G16">
        <v>17</v>
      </c>
      <c r="H16">
        <v>14</v>
      </c>
      <c r="I16">
        <v>5</v>
      </c>
      <c r="J16">
        <v>7</v>
      </c>
      <c r="K16">
        <v>43</v>
      </c>
      <c r="N16" s="86"/>
      <c r="O16" s="86"/>
      <c r="P16" s="86"/>
    </row>
    <row r="17" spans="1:16" x14ac:dyDescent="0.25">
      <c r="A17" s="48">
        <v>44866</v>
      </c>
      <c r="B17" s="3" t="s">
        <v>58</v>
      </c>
      <c r="C17">
        <v>17</v>
      </c>
      <c r="F17" s="85">
        <v>45200</v>
      </c>
      <c r="G17">
        <v>16</v>
      </c>
      <c r="H17">
        <v>15</v>
      </c>
      <c r="I17">
        <v>7</v>
      </c>
      <c r="J17">
        <v>7</v>
      </c>
      <c r="K17">
        <v>45</v>
      </c>
      <c r="N17" s="86"/>
      <c r="O17" s="86"/>
      <c r="P17" s="86"/>
    </row>
    <row r="18" spans="1:16" x14ac:dyDescent="0.25">
      <c r="A18" s="48">
        <v>44903</v>
      </c>
      <c r="B18" s="3" t="s">
        <v>56</v>
      </c>
      <c r="C18">
        <v>7</v>
      </c>
      <c r="F18" s="85">
        <v>45231</v>
      </c>
      <c r="G18">
        <v>12</v>
      </c>
      <c r="H18">
        <v>16</v>
      </c>
      <c r="I18">
        <v>9</v>
      </c>
      <c r="J18">
        <v>7</v>
      </c>
      <c r="K18">
        <v>44</v>
      </c>
      <c r="N18" s="86"/>
      <c r="O18" s="86"/>
      <c r="P18" s="86"/>
    </row>
    <row r="19" spans="1:16" x14ac:dyDescent="0.25">
      <c r="A19" s="48">
        <v>44903</v>
      </c>
      <c r="B19" s="3" t="s">
        <v>57</v>
      </c>
      <c r="C19">
        <v>8</v>
      </c>
      <c r="F19" s="85">
        <v>45261</v>
      </c>
      <c r="G19">
        <v>15</v>
      </c>
      <c r="H19">
        <v>14</v>
      </c>
      <c r="I19">
        <v>5</v>
      </c>
      <c r="J19">
        <v>7</v>
      </c>
      <c r="K19">
        <v>41</v>
      </c>
      <c r="N19" s="86"/>
      <c r="O19" s="86"/>
      <c r="P19" s="86"/>
    </row>
    <row r="20" spans="1:16" x14ac:dyDescent="0.25">
      <c r="A20" s="48">
        <v>44903</v>
      </c>
      <c r="B20" s="3" t="s">
        <v>55</v>
      </c>
      <c r="C20">
        <v>16</v>
      </c>
      <c r="F20" s="85">
        <v>45323</v>
      </c>
      <c r="G20">
        <v>15</v>
      </c>
      <c r="H20">
        <v>14</v>
      </c>
      <c r="I20">
        <v>5</v>
      </c>
      <c r="J20">
        <v>7</v>
      </c>
      <c r="K20">
        <v>41</v>
      </c>
    </row>
    <row r="21" spans="1:16" x14ac:dyDescent="0.25">
      <c r="A21" s="48">
        <v>44903</v>
      </c>
      <c r="B21" s="3" t="s">
        <v>58</v>
      </c>
      <c r="C21">
        <v>18</v>
      </c>
      <c r="F21" s="85">
        <v>45352</v>
      </c>
      <c r="G21">
        <v>15</v>
      </c>
      <c r="H21">
        <v>15</v>
      </c>
      <c r="I21">
        <v>6</v>
      </c>
      <c r="J21">
        <v>8</v>
      </c>
      <c r="K21">
        <v>44</v>
      </c>
      <c r="N21" t="s">
        <v>160</v>
      </c>
    </row>
    <row r="22" spans="1:16" x14ac:dyDescent="0.25">
      <c r="A22" s="48">
        <v>44928</v>
      </c>
      <c r="B22" s="3" t="s">
        <v>56</v>
      </c>
      <c r="C22">
        <v>6</v>
      </c>
      <c r="D22" s="114">
        <f>C22-C18</f>
        <v>-1</v>
      </c>
      <c r="F22" s="85" t="s">
        <v>155</v>
      </c>
      <c r="G22">
        <v>304</v>
      </c>
      <c r="H22">
        <v>280</v>
      </c>
      <c r="I22">
        <v>94</v>
      </c>
      <c r="J22">
        <v>126</v>
      </c>
      <c r="K22">
        <v>804</v>
      </c>
      <c r="N22" s="171">
        <v>49</v>
      </c>
    </row>
    <row r="23" spans="1:16" x14ac:dyDescent="0.25">
      <c r="A23" s="48">
        <v>44928</v>
      </c>
      <c r="B23" s="3" t="s">
        <v>57</v>
      </c>
      <c r="C23">
        <v>8</v>
      </c>
      <c r="D23" s="114">
        <f t="shared" ref="D23:D37" si="0">C23-C19</f>
        <v>0</v>
      </c>
    </row>
    <row r="24" spans="1:16" x14ac:dyDescent="0.25">
      <c r="A24" s="48">
        <v>44928</v>
      </c>
      <c r="B24" s="3" t="s">
        <v>55</v>
      </c>
      <c r="C24">
        <v>17</v>
      </c>
      <c r="D24" s="114">
        <f t="shared" si="0"/>
        <v>1</v>
      </c>
    </row>
    <row r="25" spans="1:16" x14ac:dyDescent="0.25">
      <c r="A25" s="48">
        <v>44928</v>
      </c>
      <c r="B25" s="3" t="s">
        <v>58</v>
      </c>
      <c r="C25">
        <v>18</v>
      </c>
      <c r="D25" s="114">
        <f t="shared" si="0"/>
        <v>0</v>
      </c>
    </row>
    <row r="26" spans="1:16" x14ac:dyDescent="0.25">
      <c r="A26" s="48">
        <v>44958</v>
      </c>
      <c r="B26" s="3" t="s">
        <v>56</v>
      </c>
      <c r="C26">
        <v>6</v>
      </c>
      <c r="D26" s="114">
        <f>C26-C22</f>
        <v>0</v>
      </c>
    </row>
    <row r="27" spans="1:16" x14ac:dyDescent="0.25">
      <c r="A27" s="48">
        <v>44958</v>
      </c>
      <c r="B27" s="3" t="s">
        <v>57</v>
      </c>
      <c r="C27">
        <v>6</v>
      </c>
      <c r="D27" s="114">
        <f t="shared" si="0"/>
        <v>-2</v>
      </c>
    </row>
    <row r="28" spans="1:16" x14ac:dyDescent="0.25">
      <c r="A28" s="48">
        <v>44958</v>
      </c>
      <c r="B28" s="3" t="s">
        <v>55</v>
      </c>
      <c r="C28">
        <v>15</v>
      </c>
      <c r="D28" s="114">
        <f t="shared" si="0"/>
        <v>-2</v>
      </c>
    </row>
    <row r="29" spans="1:16" x14ac:dyDescent="0.25">
      <c r="A29" s="48">
        <v>44958</v>
      </c>
      <c r="B29" s="3" t="s">
        <v>58</v>
      </c>
      <c r="C29">
        <v>20</v>
      </c>
      <c r="D29" s="114">
        <f t="shared" si="0"/>
        <v>2</v>
      </c>
    </row>
    <row r="30" spans="1:16" x14ac:dyDescent="0.25">
      <c r="A30" s="48">
        <v>45028</v>
      </c>
      <c r="B30" s="3" t="s">
        <v>56</v>
      </c>
      <c r="C30">
        <v>7</v>
      </c>
      <c r="D30" s="114">
        <f t="shared" si="0"/>
        <v>1</v>
      </c>
    </row>
    <row r="31" spans="1:16" x14ac:dyDescent="0.25">
      <c r="A31" s="48">
        <v>45028</v>
      </c>
      <c r="B31" s="3" t="s">
        <v>57</v>
      </c>
      <c r="C31">
        <v>4</v>
      </c>
      <c r="D31" s="114">
        <f t="shared" si="0"/>
        <v>-2</v>
      </c>
    </row>
    <row r="32" spans="1:16" x14ac:dyDescent="0.25">
      <c r="A32" s="48">
        <v>45028</v>
      </c>
      <c r="B32" s="3" t="s">
        <v>55</v>
      </c>
      <c r="C32">
        <v>15</v>
      </c>
      <c r="D32" s="114">
        <f t="shared" si="0"/>
        <v>0</v>
      </c>
    </row>
    <row r="33" spans="1:4" x14ac:dyDescent="0.25">
      <c r="A33" s="48">
        <v>45028</v>
      </c>
      <c r="B33" s="3" t="s">
        <v>58</v>
      </c>
      <c r="C33">
        <v>19</v>
      </c>
      <c r="D33" s="114">
        <f t="shared" si="0"/>
        <v>-1</v>
      </c>
    </row>
    <row r="34" spans="1:4" x14ac:dyDescent="0.25">
      <c r="A34" s="48">
        <v>45047</v>
      </c>
      <c r="B34" t="s">
        <v>56</v>
      </c>
      <c r="C34">
        <v>7</v>
      </c>
      <c r="D34" s="114">
        <f t="shared" si="0"/>
        <v>0</v>
      </c>
    </row>
    <row r="35" spans="1:4" x14ac:dyDescent="0.25">
      <c r="A35" s="48">
        <v>45047</v>
      </c>
      <c r="B35" t="s">
        <v>57</v>
      </c>
      <c r="C35">
        <v>4</v>
      </c>
      <c r="D35" s="114">
        <f t="shared" si="0"/>
        <v>0</v>
      </c>
    </row>
    <row r="36" spans="1:4" x14ac:dyDescent="0.25">
      <c r="A36" s="48">
        <v>45047</v>
      </c>
      <c r="B36" t="s">
        <v>55</v>
      </c>
      <c r="C36">
        <v>12</v>
      </c>
      <c r="D36" s="114">
        <f t="shared" si="0"/>
        <v>-3</v>
      </c>
    </row>
    <row r="37" spans="1:4" x14ac:dyDescent="0.25">
      <c r="A37" s="48">
        <v>45047</v>
      </c>
      <c r="B37" t="s">
        <v>58</v>
      </c>
      <c r="C37">
        <v>18</v>
      </c>
      <c r="D37" s="114">
        <f t="shared" si="0"/>
        <v>-1</v>
      </c>
    </row>
    <row r="38" spans="1:4" x14ac:dyDescent="0.25">
      <c r="A38" s="48">
        <v>45078</v>
      </c>
      <c r="B38" t="s">
        <v>56</v>
      </c>
      <c r="C38">
        <v>7</v>
      </c>
      <c r="D38" s="114">
        <f t="shared" ref="D38:D77" si="1">C38-C34</f>
        <v>0</v>
      </c>
    </row>
    <row r="39" spans="1:4" x14ac:dyDescent="0.25">
      <c r="A39" s="48">
        <v>45078</v>
      </c>
      <c r="B39" t="s">
        <v>57</v>
      </c>
      <c r="C39">
        <v>4</v>
      </c>
      <c r="D39" s="114">
        <f t="shared" si="1"/>
        <v>0</v>
      </c>
    </row>
    <row r="40" spans="1:4" x14ac:dyDescent="0.25">
      <c r="A40" s="48">
        <v>45078</v>
      </c>
      <c r="B40" t="s">
        <v>55</v>
      </c>
      <c r="C40">
        <v>12</v>
      </c>
      <c r="D40" s="114">
        <f t="shared" si="1"/>
        <v>0</v>
      </c>
    </row>
    <row r="41" spans="1:4" x14ac:dyDescent="0.25">
      <c r="A41" s="48">
        <v>45078</v>
      </c>
      <c r="B41" t="s">
        <v>58</v>
      </c>
      <c r="C41">
        <v>18</v>
      </c>
      <c r="D41" s="114">
        <f t="shared" si="1"/>
        <v>0</v>
      </c>
    </row>
    <row r="42" spans="1:4" x14ac:dyDescent="0.25">
      <c r="A42" s="48">
        <v>45108</v>
      </c>
      <c r="B42" t="s">
        <v>56</v>
      </c>
      <c r="C42">
        <v>7</v>
      </c>
      <c r="D42" s="114">
        <f t="shared" si="1"/>
        <v>0</v>
      </c>
    </row>
    <row r="43" spans="1:4" x14ac:dyDescent="0.25">
      <c r="A43" s="48">
        <v>45108</v>
      </c>
      <c r="B43" t="s">
        <v>57</v>
      </c>
      <c r="C43">
        <v>4</v>
      </c>
      <c r="D43" s="114">
        <f t="shared" si="1"/>
        <v>0</v>
      </c>
    </row>
    <row r="44" spans="1:4" x14ac:dyDescent="0.25">
      <c r="A44" s="48">
        <v>45108</v>
      </c>
      <c r="B44" t="s">
        <v>55</v>
      </c>
      <c r="C44">
        <v>12</v>
      </c>
      <c r="D44" s="114">
        <f t="shared" si="1"/>
        <v>0</v>
      </c>
    </row>
    <row r="45" spans="1:4" x14ac:dyDescent="0.25">
      <c r="A45" s="48">
        <v>45108</v>
      </c>
      <c r="B45" t="s">
        <v>58</v>
      </c>
      <c r="C45">
        <v>18</v>
      </c>
      <c r="D45" s="114">
        <f t="shared" si="1"/>
        <v>0</v>
      </c>
    </row>
    <row r="46" spans="1:4" x14ac:dyDescent="0.25">
      <c r="A46" s="126">
        <v>45139</v>
      </c>
      <c r="B46" t="s">
        <v>56</v>
      </c>
      <c r="C46">
        <v>7</v>
      </c>
      <c r="D46" s="114">
        <f t="shared" si="1"/>
        <v>0</v>
      </c>
    </row>
    <row r="47" spans="1:4" x14ac:dyDescent="0.25">
      <c r="A47" s="126">
        <v>45139</v>
      </c>
      <c r="B47" t="s">
        <v>57</v>
      </c>
      <c r="C47">
        <v>5</v>
      </c>
      <c r="D47" s="114">
        <f t="shared" si="1"/>
        <v>1</v>
      </c>
    </row>
    <row r="48" spans="1:4" x14ac:dyDescent="0.25">
      <c r="A48" s="126">
        <v>45139</v>
      </c>
      <c r="B48" t="s">
        <v>55</v>
      </c>
      <c r="C48">
        <v>14</v>
      </c>
      <c r="D48" s="114">
        <f t="shared" si="1"/>
        <v>2</v>
      </c>
    </row>
    <row r="49" spans="1:4" x14ac:dyDescent="0.25">
      <c r="A49" s="126">
        <v>45139</v>
      </c>
      <c r="B49" t="s">
        <v>58</v>
      </c>
      <c r="C49">
        <v>17</v>
      </c>
      <c r="D49" s="114">
        <f t="shared" si="1"/>
        <v>-1</v>
      </c>
    </row>
    <row r="50" spans="1:4" x14ac:dyDescent="0.25">
      <c r="A50" s="126">
        <v>45170</v>
      </c>
      <c r="B50" t="s">
        <v>56</v>
      </c>
      <c r="C50">
        <v>7</v>
      </c>
      <c r="D50" s="114">
        <f t="shared" si="1"/>
        <v>0</v>
      </c>
    </row>
    <row r="51" spans="1:4" x14ac:dyDescent="0.25">
      <c r="A51" s="126">
        <v>45170</v>
      </c>
      <c r="B51" t="s">
        <v>57</v>
      </c>
      <c r="C51">
        <v>5</v>
      </c>
      <c r="D51" s="114">
        <f t="shared" si="1"/>
        <v>0</v>
      </c>
    </row>
    <row r="52" spans="1:4" x14ac:dyDescent="0.25">
      <c r="A52" s="126">
        <v>45170</v>
      </c>
      <c r="B52" t="s">
        <v>55</v>
      </c>
      <c r="C52">
        <v>14</v>
      </c>
      <c r="D52" s="114">
        <f t="shared" si="1"/>
        <v>0</v>
      </c>
    </row>
    <row r="53" spans="1:4" x14ac:dyDescent="0.25">
      <c r="A53" s="126">
        <v>45170</v>
      </c>
      <c r="B53" t="s">
        <v>58</v>
      </c>
      <c r="C53">
        <v>17</v>
      </c>
      <c r="D53" s="114">
        <f t="shared" si="1"/>
        <v>0</v>
      </c>
    </row>
    <row r="54" spans="1:4" x14ac:dyDescent="0.25">
      <c r="A54" s="126">
        <v>45200</v>
      </c>
      <c r="B54" t="s">
        <v>56</v>
      </c>
      <c r="C54">
        <v>7</v>
      </c>
      <c r="D54" s="114">
        <f t="shared" si="1"/>
        <v>0</v>
      </c>
    </row>
    <row r="55" spans="1:4" x14ac:dyDescent="0.25">
      <c r="A55" s="126">
        <v>45200</v>
      </c>
      <c r="B55" t="s">
        <v>57</v>
      </c>
      <c r="C55">
        <v>7</v>
      </c>
      <c r="D55" s="114">
        <f t="shared" si="1"/>
        <v>2</v>
      </c>
    </row>
    <row r="56" spans="1:4" x14ac:dyDescent="0.25">
      <c r="A56" s="126">
        <v>45200</v>
      </c>
      <c r="B56" t="s">
        <v>55</v>
      </c>
      <c r="C56">
        <v>15</v>
      </c>
      <c r="D56" s="114">
        <f t="shared" si="1"/>
        <v>1</v>
      </c>
    </row>
    <row r="57" spans="1:4" x14ac:dyDescent="0.25">
      <c r="A57" s="126">
        <v>45200</v>
      </c>
      <c r="B57" t="s">
        <v>58</v>
      </c>
      <c r="C57">
        <v>16</v>
      </c>
      <c r="D57" s="114">
        <f t="shared" si="1"/>
        <v>-1</v>
      </c>
    </row>
    <row r="58" spans="1:4" x14ac:dyDescent="0.25">
      <c r="A58" s="126">
        <v>45231</v>
      </c>
      <c r="B58" t="s">
        <v>56</v>
      </c>
      <c r="C58">
        <v>7</v>
      </c>
    </row>
    <row r="59" spans="1:4" x14ac:dyDescent="0.25">
      <c r="A59" s="126">
        <v>45231</v>
      </c>
      <c r="B59" t="s">
        <v>57</v>
      </c>
      <c r="C59">
        <v>9</v>
      </c>
      <c r="D59" s="114">
        <f t="shared" si="1"/>
        <v>2</v>
      </c>
    </row>
    <row r="60" spans="1:4" x14ac:dyDescent="0.25">
      <c r="A60" s="126">
        <v>45231</v>
      </c>
      <c r="B60" t="s">
        <v>55</v>
      </c>
      <c r="C60">
        <v>16</v>
      </c>
      <c r="D60" s="114">
        <f t="shared" si="1"/>
        <v>1</v>
      </c>
    </row>
    <row r="61" spans="1:4" x14ac:dyDescent="0.25">
      <c r="A61" s="126">
        <v>45231</v>
      </c>
      <c r="B61" t="s">
        <v>58</v>
      </c>
      <c r="C61">
        <v>12</v>
      </c>
      <c r="D61" s="114">
        <f t="shared" si="1"/>
        <v>-4</v>
      </c>
    </row>
    <row r="62" spans="1:4" x14ac:dyDescent="0.25">
      <c r="A62" s="126">
        <v>45261</v>
      </c>
      <c r="B62" t="s">
        <v>56</v>
      </c>
      <c r="C62">
        <v>7</v>
      </c>
    </row>
    <row r="63" spans="1:4" x14ac:dyDescent="0.25">
      <c r="A63" s="126">
        <v>45261</v>
      </c>
      <c r="B63" t="s">
        <v>57</v>
      </c>
      <c r="C63">
        <v>5</v>
      </c>
      <c r="D63" s="114">
        <f t="shared" si="1"/>
        <v>-4</v>
      </c>
    </row>
    <row r="64" spans="1:4" x14ac:dyDescent="0.25">
      <c r="A64" s="126">
        <v>45261</v>
      </c>
      <c r="B64" t="s">
        <v>55</v>
      </c>
      <c r="C64">
        <v>14</v>
      </c>
      <c r="D64" s="114">
        <f t="shared" si="1"/>
        <v>-2</v>
      </c>
    </row>
    <row r="65" spans="1:4" x14ac:dyDescent="0.25">
      <c r="A65" s="126">
        <v>45261</v>
      </c>
      <c r="B65" t="s">
        <v>58</v>
      </c>
      <c r="C65">
        <v>15</v>
      </c>
      <c r="D65" s="114">
        <f t="shared" si="1"/>
        <v>3</v>
      </c>
    </row>
    <row r="66" spans="1:4" x14ac:dyDescent="0.25">
      <c r="A66" s="126">
        <v>45323</v>
      </c>
      <c r="B66" t="s">
        <v>56</v>
      </c>
      <c r="C66">
        <v>7</v>
      </c>
      <c r="D66" s="114">
        <f t="shared" si="1"/>
        <v>0</v>
      </c>
    </row>
    <row r="67" spans="1:4" x14ac:dyDescent="0.25">
      <c r="A67" s="126">
        <v>45323</v>
      </c>
      <c r="B67" t="s">
        <v>57</v>
      </c>
      <c r="C67">
        <v>5</v>
      </c>
      <c r="D67" s="114">
        <f t="shared" si="1"/>
        <v>0</v>
      </c>
    </row>
    <row r="68" spans="1:4" x14ac:dyDescent="0.25">
      <c r="A68" s="126">
        <v>45323</v>
      </c>
      <c r="B68" t="s">
        <v>55</v>
      </c>
      <c r="C68">
        <v>14</v>
      </c>
      <c r="D68" s="114">
        <f t="shared" si="1"/>
        <v>0</v>
      </c>
    </row>
    <row r="69" spans="1:4" x14ac:dyDescent="0.25">
      <c r="A69" s="126">
        <v>45323</v>
      </c>
      <c r="B69" t="s">
        <v>58</v>
      </c>
      <c r="C69">
        <v>15</v>
      </c>
      <c r="D69" s="114">
        <f t="shared" si="1"/>
        <v>0</v>
      </c>
    </row>
    <row r="70" spans="1:4" x14ac:dyDescent="0.25">
      <c r="A70" s="126">
        <v>45352</v>
      </c>
      <c r="B70" t="s">
        <v>56</v>
      </c>
      <c r="C70">
        <v>8</v>
      </c>
      <c r="D70" s="114">
        <f t="shared" si="1"/>
        <v>1</v>
      </c>
    </row>
    <row r="71" spans="1:4" x14ac:dyDescent="0.25">
      <c r="A71" s="126">
        <v>45352</v>
      </c>
      <c r="B71" t="s">
        <v>57</v>
      </c>
      <c r="C71">
        <v>6</v>
      </c>
      <c r="D71" s="114">
        <f t="shared" si="1"/>
        <v>1</v>
      </c>
    </row>
    <row r="72" spans="1:4" x14ac:dyDescent="0.25">
      <c r="A72" s="126">
        <v>45352</v>
      </c>
      <c r="B72" t="s">
        <v>55</v>
      </c>
      <c r="C72">
        <v>15</v>
      </c>
      <c r="D72" s="114">
        <f t="shared" si="1"/>
        <v>1</v>
      </c>
    </row>
    <row r="73" spans="1:4" x14ac:dyDescent="0.25">
      <c r="A73" s="126">
        <v>45352</v>
      </c>
      <c r="B73" t="s">
        <v>58</v>
      </c>
      <c r="C73">
        <v>15</v>
      </c>
      <c r="D73" s="114">
        <f t="shared" si="1"/>
        <v>0</v>
      </c>
    </row>
    <row r="74" spans="1:4" x14ac:dyDescent="0.25">
      <c r="A74" s="126">
        <v>45383</v>
      </c>
      <c r="B74" t="s">
        <v>56</v>
      </c>
      <c r="C74">
        <v>9</v>
      </c>
      <c r="D74" s="114">
        <f t="shared" si="1"/>
        <v>1</v>
      </c>
    </row>
    <row r="75" spans="1:4" x14ac:dyDescent="0.25">
      <c r="A75" s="126">
        <v>45383</v>
      </c>
      <c r="B75" t="s">
        <v>57</v>
      </c>
      <c r="C75">
        <v>10</v>
      </c>
      <c r="D75" s="114">
        <f t="shared" si="1"/>
        <v>4</v>
      </c>
    </row>
    <row r="76" spans="1:4" x14ac:dyDescent="0.25">
      <c r="A76" s="126">
        <v>45383</v>
      </c>
      <c r="B76" t="s">
        <v>55</v>
      </c>
      <c r="C76">
        <v>14</v>
      </c>
      <c r="D76" s="114">
        <f t="shared" si="1"/>
        <v>-1</v>
      </c>
    </row>
    <row r="77" spans="1:4" x14ac:dyDescent="0.25">
      <c r="A77" s="126">
        <v>45383</v>
      </c>
      <c r="B77" t="s">
        <v>58</v>
      </c>
      <c r="C77">
        <v>15</v>
      </c>
      <c r="D77" s="114">
        <f t="shared" si="1"/>
        <v>0</v>
      </c>
    </row>
  </sheetData>
  <conditionalFormatting sqref="D22:D57">
    <cfRule type="cellIs" dxfId="6" priority="8" operator="equal">
      <formula>0</formula>
    </cfRule>
  </conditionalFormatting>
  <conditionalFormatting sqref="D59:D61">
    <cfRule type="cellIs" dxfId="5" priority="7" operator="equal">
      <formula>0</formula>
    </cfRule>
  </conditionalFormatting>
  <conditionalFormatting sqref="D63:D77">
    <cfRule type="cellIs" dxfId="4" priority="1" operator="equal">
      <formula>0</formula>
    </cfRule>
  </conditionalFormatting>
  <pageMargins left="0.7" right="0.7" top="0.75" bottom="0.75" header="0.3" footer="0.3"/>
  <pageSetup paperSize="9" orientation="portrait" r:id="rId5"/>
  <headerFooter>
    <oddHeader>&amp;L&amp;"Calibri"&amp;10&amp;K000000 Uniphar Classification: Confidential&amp;1#_x000D_</oddHeader>
    <oddFooter>&amp;L_x000D_&amp;1#&amp;"Calibri"&amp;10&amp;K000000 Uniphar Classification: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6"/>
  <sheetViews>
    <sheetView workbookViewId="0">
      <selection activeCell="A3" sqref="A3"/>
    </sheetView>
  </sheetViews>
  <sheetFormatPr defaultRowHeight="13.2" x14ac:dyDescent="0.25"/>
  <cols>
    <col min="1" max="1" width="21.5546875" customWidth="1"/>
  </cols>
  <sheetData>
    <row r="2" spans="1:1" x14ac:dyDescent="0.25">
      <c r="A2" s="33" t="s">
        <v>156</v>
      </c>
    </row>
    <row r="3" spans="1:1" x14ac:dyDescent="0.25">
      <c r="A3" s="33" t="s">
        <v>157</v>
      </c>
    </row>
    <row r="4" spans="1:1" x14ac:dyDescent="0.25">
      <c r="A4" s="33" t="s">
        <v>158</v>
      </c>
    </row>
    <row r="5" spans="1:1" x14ac:dyDescent="0.25">
      <c r="A5" s="33" t="s">
        <v>31</v>
      </c>
    </row>
    <row r="6" spans="1:1" x14ac:dyDescent="0.25">
      <c r="A6" s="33" t="s">
        <v>159</v>
      </c>
    </row>
  </sheetData>
  <pageMargins left="0.7" right="0.7" top="0.75" bottom="0.75" header="0.3" footer="0.3"/>
  <headerFooter>
    <oddHeader>&amp;L&amp;"Calibri"&amp;10&amp;K000000 Uniphar Classification: Confidential&amp;1#_x000D_</oddHeader>
    <oddFooter>&amp;L_x000D_&amp;1#&amp;"Calibri"&amp;10&amp;K000000 Uniphar Classification: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BBCCDAAA3E7441BCC94ACF5D1BDBAE" ma:contentTypeVersion="11" ma:contentTypeDescription="Create a new document." ma:contentTypeScope="" ma:versionID="d3e08a3b92a3c7d0b16cbf93d29d52d7">
  <xsd:schema xmlns:xsd="http://www.w3.org/2001/XMLSchema" xmlns:xs="http://www.w3.org/2001/XMLSchema" xmlns:p="http://schemas.microsoft.com/office/2006/metadata/properties" xmlns:ns2="05bcc328-c4b4-44dc-a99c-824936b9266f" xmlns:ns3="b4299795-615a-430d-a83c-8290af8bab69" targetNamespace="http://schemas.microsoft.com/office/2006/metadata/properties" ma:root="true" ma:fieldsID="0c2016e3a8c2b45843e572c4b2223369" ns2:_="" ns3:_="">
    <xsd:import namespace="05bcc328-c4b4-44dc-a99c-824936b9266f"/>
    <xsd:import namespace="b4299795-615a-430d-a83c-8290af8bab6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bcc328-c4b4-44dc-a99c-824936b926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7c361a7-5965-48f4-a92b-fe0ddd16324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299795-615a-430d-a83c-8290af8bab6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4299795-615a-430d-a83c-8290af8bab69">
      <UserInfo>
        <DisplayName>Matthew Kazafaniotis</DisplayName>
        <AccountId>16</AccountId>
        <AccountType/>
      </UserInfo>
      <UserInfo>
        <DisplayName>Josh Green</DisplayName>
        <AccountId>23</AccountId>
        <AccountType/>
      </UserInfo>
      <UserInfo>
        <DisplayName>Neville John</DisplayName>
        <AccountId>11</AccountId>
        <AccountType/>
      </UserInfo>
      <UserInfo>
        <DisplayName>SharingLinks.650654f4-06c1-4cac-937b-68cd0612b166.Flexible.109217a6-670d-457f-a03e-9ddae2968df1</DisplayName>
        <AccountId>15</AccountId>
        <AccountType/>
      </UserInfo>
      <UserInfo>
        <DisplayName>SharingLinks.650654f4-06c1-4cac-937b-68cd0612b166.Flexible.47909148-e26a-4851-a834-6c796fc04309</DisplayName>
        <AccountId>12</AccountId>
        <AccountType/>
      </UserInfo>
      <UserInfo>
        <DisplayName>Piotr Wojdowski</DisplayName>
        <AccountId>24</AccountId>
        <AccountType/>
      </UserInfo>
      <UserInfo>
        <DisplayName>Hugh McDonnell</DisplayName>
        <AccountId>18</AccountId>
        <AccountType/>
      </UserInfo>
      <UserInfo>
        <DisplayName>Limited Access System Group For Web b4299795-615a-430d-a83c-8290af8bab69</DisplayName>
        <AccountId>14</AccountId>
        <AccountType/>
      </UserInfo>
      <UserInfo>
        <DisplayName>Tim Abbott</DisplayName>
        <AccountId>22</AccountId>
        <AccountType/>
      </UserInfo>
      <UserInfo>
        <DisplayName>SharingLinks.64dc3f76-0245-4271-874b-c90064918dbe.Flexible.484eb705-649e-4094-bd16-6e5a33637332</DisplayName>
        <AccountId>20</AccountId>
        <AccountType/>
      </UserInfo>
      <UserInfo>
        <DisplayName>SharingLinks.0150bb4c-2b8d-48be-a6e3-df2006300106.Flexible.fbd5ae45-5543-4598-917e-a85a48e492dc</DisplayName>
        <AccountId>17</AccountId>
        <AccountType/>
      </UserInfo>
      <UserInfo>
        <DisplayName>SharingLinks.64dc3f76-0245-4271-874b-c90064918dbe.Flexible.69ed90af-08b6-467a-a3c4-24cec05beb8a</DisplayName>
        <AccountId>19</AccountId>
        <AccountType/>
      </UserInfo>
      <UserInfo>
        <DisplayName>Noelle Walsh</DisplayName>
        <AccountId>10</AccountId>
        <AccountType/>
      </UserInfo>
      <UserInfo>
        <DisplayName>Limited Access System Group For List 05bcc328-c4b4-44dc-a99c-824936b9266f</DisplayName>
        <AccountId>13</AccountId>
        <AccountType/>
      </UserInfo>
      <UserInfo>
        <DisplayName>Seamus Egan</DisplayName>
        <AccountId>28</AccountId>
        <AccountType/>
      </UserInfo>
      <UserInfo>
        <DisplayName>Anna Bourke</DisplayName>
        <AccountId>29</AccountId>
        <AccountType/>
      </UserInfo>
      <UserInfo>
        <DisplayName>Robert Early</DisplayName>
        <AccountId>6</AccountId>
        <AccountType/>
      </UserInfo>
      <UserInfo>
        <DisplayName>Lisa O'Neill</DisplayName>
        <AccountId>31</AccountId>
        <AccountType/>
      </UserInfo>
      <UserInfo>
        <DisplayName>Mick Dunne</DisplayName>
        <AccountId>26</AccountId>
        <AccountType/>
      </UserInfo>
      <UserInfo>
        <DisplayName>Nick Mutton</DisplayName>
        <AccountId>33</AccountId>
        <AccountType/>
      </UserInfo>
      <UserInfo>
        <DisplayName>Simon Harkin</DisplayName>
        <AccountId>27</AccountId>
        <AccountType/>
      </UserInfo>
      <UserInfo>
        <DisplayName>Anna Dolba</DisplayName>
        <AccountId>42</AccountId>
        <AccountType/>
      </UserInfo>
      <UserInfo>
        <DisplayName>Gareth Reilly</DisplayName>
        <AccountId>21</AccountId>
        <AccountType/>
      </UserInfo>
      <UserInfo>
        <DisplayName>Eugene Connell</DisplayName>
        <AccountId>25</AccountId>
        <AccountType/>
      </UserInfo>
    </SharedWithUsers>
    <lcf76f155ced4ddcb4097134ff3c332f xmlns="05bcc328-c4b4-44dc-a99c-824936b9266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F15F11-5CAF-4697-A930-0ABFCB35AF42}">
  <ds:schemaRefs>
    <ds:schemaRef ds:uri="http://schemas.microsoft.com/sharepoint/v3/contenttype/forms"/>
  </ds:schemaRefs>
</ds:datastoreItem>
</file>

<file path=customXml/itemProps2.xml><?xml version="1.0" encoding="utf-8"?>
<ds:datastoreItem xmlns:ds="http://schemas.openxmlformats.org/officeDocument/2006/customXml" ds:itemID="{ED7E17B8-CE44-4D9D-9A83-627ECF3A70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bcc328-c4b4-44dc-a99c-824936b9266f"/>
    <ds:schemaRef ds:uri="b4299795-615a-430d-a83c-8290af8bab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21776F-8D80-403F-B939-9091977ECB75}">
  <ds:schemaRefs>
    <ds:schemaRef ds:uri="http://schemas.microsoft.com/office/2006/metadata/properties"/>
    <ds:schemaRef ds:uri="http://schemas.microsoft.com/office/infopath/2007/PartnerControls"/>
    <ds:schemaRef ds:uri="b4299795-615a-430d-a83c-8290af8bab69"/>
    <ds:schemaRef ds:uri="05bcc328-c4b4-44dc-a99c-824936b926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Dashboard</vt:lpstr>
      <vt:lpstr>Risk Management Register</vt:lpstr>
      <vt:lpstr>Treated Risks</vt:lpstr>
      <vt:lpstr>Rating Tables</vt:lpstr>
      <vt:lpstr>Risk Assessment Tables</vt:lpstr>
      <vt:lpstr>Risk Data</vt:lpstr>
      <vt:lpstr>Look ups</vt:lpstr>
      <vt:lpstr>Impact</vt:lpstr>
      <vt:lpstr>Likelihood</vt:lpstr>
      <vt:lpstr>Risk</vt:lpstr>
      <vt:lpstr>RiskArea</vt:lpstr>
      <vt:lpstr>SegmentationRisk</vt:lpstr>
      <vt:lpstr>SegmentationRiskMilestones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2022-09-09T15:14:35Z</dcterms:created>
  <dcterms:modified xsi:type="dcterms:W3CDTF">2026-01-21T10:56:26Z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0x010100CCBBCCDAAA3E7441BCC94ACF5D1BDBAE</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SIP_Label_f64f2dcf-0606-4ea0-be5e-a186843787c7_Enabled">
    <vt:lpwstr>true</vt:lpwstr>
  </property>
  <property fmtid="{D5CDD505-2E9C-101B-9397-08002B2CF9AE}" pid="7" name="MSIP_Label_f64f2dcf-0606-4ea0-be5e-a186843787c7_SetDate">
    <vt:lpwstr>2022-09-08T07:18:35Z</vt:lpwstr>
  </property>
  <property fmtid="{D5CDD505-2E9C-101B-9397-08002B2CF9AE}" pid="8" name="MSIP_Label_f64f2dcf-0606-4ea0-be5e-a186843787c7_Method">
    <vt:lpwstr>Privileged</vt:lpwstr>
  </property>
  <property fmtid="{D5CDD505-2E9C-101B-9397-08002B2CF9AE}" pid="9" name="MSIP_Label_f64f2dcf-0606-4ea0-be5e-a186843787c7_Name">
    <vt:lpwstr>Confidential</vt:lpwstr>
  </property>
  <property fmtid="{D5CDD505-2E9C-101B-9397-08002B2CF9AE}" pid="10" name="MSIP_Label_f64f2dcf-0606-4ea0-be5e-a186843787c7_SiteId">
    <vt:lpwstr>8421dd92-337e-4405-8cfc-16118ffc5715</vt:lpwstr>
  </property>
  <property fmtid="{D5CDD505-2E9C-101B-9397-08002B2CF9AE}" pid="11" name="MSIP_Label_f64f2dcf-0606-4ea0-be5e-a186843787c7_ActionId">
    <vt:lpwstr>dff7a82c-6bef-42a3-a817-51efd6c0772d</vt:lpwstr>
  </property>
  <property fmtid="{D5CDD505-2E9C-101B-9397-08002B2CF9AE}" pid="12" name="MSIP_Label_f64f2dcf-0606-4ea0-be5e-a186843787c7_ContentBits">
    <vt:lpwstr>3</vt:lpwstr>
  </property>
  <property fmtid="{D5CDD505-2E9C-101B-9397-08002B2CF9AE}" pid="13" name="MediaServiceImageTags">
    <vt:lpwstr/>
  </property>
</Properties>
</file>